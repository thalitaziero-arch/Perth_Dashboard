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GPS Data" sheetId="1" state="visible" r:id="rId1"/>
    <sheet xmlns:r="http://schemas.openxmlformats.org/officeDocument/2006/relationships" name="Position Groups" sheetId="2" state="visible" r:id="rId2"/>
    <sheet xmlns:r="http://schemas.openxmlformats.org/officeDocument/2006/relationships" name="Dashboard - Comparisons" sheetId="3" state="visible" r:id="rId3"/>
    <sheet xmlns:r="http://schemas.openxmlformats.org/officeDocument/2006/relationships" name="GPS Benchmarks" sheetId="4" state="visible" r:id="rId4"/>
    <sheet xmlns:r="http://schemas.openxmlformats.org/officeDocument/2006/relationships" name="By Position" sheetId="5" state="visible" r:id="rId5"/>
    <sheet xmlns:r="http://schemas.openxmlformats.org/officeDocument/2006/relationships" name="Dashboard Text" sheetId="6" state="visible" r:id="rId6"/>
    <sheet xmlns:r="http://schemas.openxmlformats.org/officeDocument/2006/relationships" name="Referenc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</font>
    <font>
      <name val="Calibri"/>
      <family val="2"/>
      <b val="1"/>
      <sz val="16"/>
    </font>
    <font>
      <name val="Calibri"/>
      <family val="2"/>
      <b val="1"/>
      <sz val="13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4E78"/>
      <sz val="18"/>
    </font>
    <font>
      <name val="Calibri"/>
      <family val="2"/>
      <b val="1"/>
      <color theme="1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3"/>
    </font>
    <font>
      <name val="Calibri"/>
      <family val="2"/>
      <b val="1"/>
      <color theme="1"/>
      <sz val="11"/>
    </font>
    <font>
      <name val="Calibri"/>
      <family val="2"/>
      <i val="1"/>
      <sz val="11"/>
    </font>
    <font>
      <name val="Calibri"/>
      <family val="2"/>
      <b val="1"/>
      <sz val="11"/>
    </font>
    <font>
      <name val="Calibri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F3F6FA"/>
      </patternFill>
    </fill>
    <fill>
      <patternFill patternType="solid">
        <fgColor rgb="FFD9EAD3"/>
      </patternFill>
    </fill>
    <fill>
      <patternFill patternType="solid">
        <fgColor rgb="FFD9EAD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9" fillId="5" borderId="1" applyAlignment="1" pivotButton="0" quotePrefix="0" xfId="0">
      <alignment horizontal="center" wrapText="1"/>
    </xf>
    <xf numFmtId="0" fontId="9" fillId="5" borderId="7" applyAlignment="1" pivotButton="0" quotePrefix="0" xfId="0">
      <alignment horizontal="center" wrapText="1"/>
    </xf>
    <xf numFmtId="0" fontId="9" fillId="5" borderId="2" applyAlignment="1" pivotButton="0" quotePrefix="0" xfId="0">
      <alignment horizontal="center" wrapText="1"/>
    </xf>
    <xf numFmtId="0" fontId="0" fillId="0" borderId="3" pivotButton="0" quotePrefix="0" xfId="0"/>
    <xf numFmtId="0" fontId="0" fillId="0" borderId="5" pivotButton="0" quotePrefix="0" xfId="0"/>
    <xf numFmtId="2" fontId="0" fillId="0" borderId="8" pivotButton="0" quotePrefix="0" xfId="0"/>
    <xf numFmtId="2" fontId="0" fillId="0" borderId="9" pivotButton="0" quotePrefix="0" xfId="0"/>
    <xf numFmtId="1" fontId="0" fillId="0" borderId="8" pivotButton="0" quotePrefix="0" xfId="0"/>
    <xf numFmtId="1" fontId="0" fillId="0" borderId="9" pivotButton="0" quotePrefix="0" xfId="0"/>
    <xf numFmtId="1" fontId="0" fillId="0" borderId="4" pivotButton="0" quotePrefix="0" xfId="0"/>
    <xf numFmtId="1" fontId="0" fillId="0" borderId="6" pivotButton="0" quotePrefix="0" xfId="0"/>
    <xf numFmtId="0" fontId="3" fillId="5" borderId="10" pivotButton="0" quotePrefix="0" xfId="0"/>
    <xf numFmtId="0" fontId="10" fillId="0" borderId="10" pivotButton="0" quotePrefix="0" xfId="0"/>
    <xf numFmtId="0" fontId="11" fillId="6" borderId="10" pivotButton="0" quotePrefix="0" xfId="0"/>
    <xf numFmtId="0" fontId="11" fillId="0" borderId="10" pivotButton="0" quotePrefix="0" xfId="0"/>
    <xf numFmtId="0" fontId="1" fillId="0" borderId="10" pivotButton="0" quotePrefix="0" xfId="0"/>
    <xf numFmtId="0" fontId="12" fillId="0" borderId="0" pivotButton="0" quotePrefix="0" xfId="0"/>
    <xf numFmtId="0" fontId="8" fillId="3" borderId="10" applyAlignment="1" pivotButton="0" quotePrefix="0" xfId="0">
      <alignment horizontal="center"/>
    </xf>
    <xf numFmtId="0" fontId="0" fillId="0" borderId="0" pivotButton="0" quotePrefix="0" xfId="0"/>
    <xf numFmtId="0" fontId="5" fillId="0" borderId="10" applyAlignment="1" pivotButton="0" quotePrefix="0" xfId="0">
      <alignment horizontal="center"/>
    </xf>
    <xf numFmtId="0" fontId="7" fillId="0" borderId="10" applyAlignment="1" pivotButton="0" quotePrefix="0" xfId="0">
      <alignment horizontal="center" wrapText="1"/>
    </xf>
    <xf numFmtId="0" fontId="6" fillId="0" borderId="1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HMLD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'Dashboard - Comparisons'!$A$7:$A$22</f>
              <strCache>
                <ptCount val="16"/>
                <pt idx="0">
                  <v>Charli</v>
                </pt>
                <pt idx="1">
                  <v>Dale</v>
                </pt>
                <pt idx="2">
                  <v>Daisy</v>
                </pt>
                <pt idx="3">
                  <v>Emme</v>
                </pt>
                <pt idx="4">
                  <v>Ella</v>
                </pt>
                <pt idx="5">
                  <v>Epril</v>
                </pt>
                <pt idx="6">
                  <v>Grace</v>
                </pt>
                <pt idx="7">
                  <v>Jessica</v>
                </pt>
                <pt idx="8">
                  <v>Kim</v>
                </pt>
                <pt idx="9">
                  <v>Lauren</v>
                </pt>
                <pt idx="10">
                  <v>Louise</v>
                </pt>
                <pt idx="11">
                  <v>Macey</v>
                </pt>
                <pt idx="12">
                  <v>Ruby</v>
                </pt>
                <pt idx="13">
                  <v>Sam</v>
                </pt>
                <pt idx="14">
                  <v>Tristen</v>
                </pt>
                <pt idx="15">
                  <v>Xuri</v>
                </pt>
              </strCache>
            </strRef>
          </cat>
          <val>
            <numRef>
              <f>'Dashboard - Comparisons'!$G$7:$G$22</f>
              <numCache>
                <formatCode>0.00</formatCode>
                <ptCount val="16"/>
                <pt idx="0">
                  <v>856.36</v>
                </pt>
                <pt idx="1">
                  <v>0</v>
                </pt>
                <pt idx="2">
                  <v>544.71</v>
                </pt>
                <pt idx="3">
                  <v>245.71</v>
                </pt>
                <pt idx="4">
                  <v>478.01</v>
                </pt>
                <pt idx="5">
                  <v>332.93</v>
                </pt>
                <pt idx="6">
                  <v>403.01</v>
                </pt>
                <pt idx="7">
                  <v>990.76</v>
                </pt>
                <pt idx="8">
                  <v>311.58</v>
                </pt>
                <pt idx="9">
                  <v>388.21</v>
                </pt>
                <pt idx="10">
                  <v>635.58</v>
                </pt>
                <pt idx="11">
                  <v>792.35</v>
                </pt>
                <pt idx="12">
                  <v>981.88</v>
                </pt>
                <pt idx="13">
                  <v>862</v>
                </pt>
                <pt idx="14">
                  <v>741.36</v>
                </pt>
                <pt idx="15">
                  <v>646.2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7</row>
      <rowOff>0</rowOff>
    </from>
    <to>
      <col>17</col>
      <colOff>0</colOff>
      <row>24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ositionGroupsTable" displayName="PositionGroupsTable" ref="A1:B46" headerRowCount="1">
  <tableColumns count="2">
    <tableColumn id="1" name="Position Group"/>
    <tableColumn id="2" name="Player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tabSelected="1" workbookViewId="0">
      <selection activeCell="A24" sqref="A7:A24"/>
    </sheetView>
  </sheetViews>
  <sheetFormatPr baseColWidth="10" defaultColWidth="8.83203125" defaultRowHeight="15"/>
  <cols>
    <col width="26" customWidth="1" style="29" min="1" max="1"/>
    <col width="17" customWidth="1" style="29" min="2" max="2"/>
    <col width="21" customWidth="1" style="29" min="3" max="3"/>
    <col width="12" customWidth="1" style="29" min="4" max="4"/>
    <col width="16" customWidth="1" style="29" min="5" max="6"/>
    <col width="18" customWidth="1" style="29" min="7" max="7"/>
    <col width="22" customWidth="1" style="29" min="8" max="8"/>
    <col width="17.83203125" customWidth="1" style="29" min="9" max="9"/>
    <col width="15" customWidth="1" style="29" min="10" max="10"/>
    <col width="3" customWidth="1" style="29" min="11" max="11"/>
  </cols>
  <sheetData>
    <row r="1" ht="21" customHeight="1" s="29">
      <c r="A1" s="1" t="inlineStr">
        <is>
          <t>Perth SC – Senior Women</t>
        </is>
      </c>
    </row>
    <row r="2" ht="17" customHeight="1" s="29">
      <c r="A2" s="2" t="inlineStr">
        <is>
          <t>Strength &amp; Conditioning</t>
        </is>
      </c>
    </row>
    <row r="3"/>
    <row r="4">
      <c r="A4" t="inlineStr">
        <is>
          <t>Session Type</t>
        </is>
      </c>
      <c r="B4" t="inlineStr">
        <is>
          <t>Training</t>
        </is>
      </c>
      <c r="D4" t="inlineStr">
        <is>
          <t>Date</t>
        </is>
      </c>
      <c r="E4" t="inlineStr">
        <is>
          <t>23/06/2026</t>
        </is>
      </c>
      <c r="J4" t="inlineStr">
        <is>
          <t>Round (Game)</t>
        </is>
      </c>
    </row>
    <row r="5"/>
    <row r="6">
      <c r="A6" s="3" t="inlineStr">
        <is>
          <t>Player Name</t>
        </is>
      </c>
      <c r="B6" s="3" t="inlineStr">
        <is>
          <t>Total Distance</t>
        </is>
      </c>
      <c r="C6" s="3" t="inlineStr">
        <is>
          <t>High Speed Running</t>
        </is>
      </c>
      <c r="D6" s="3" t="inlineStr">
        <is>
          <t>Max Speed</t>
        </is>
      </c>
      <c r="E6" s="3" t="inlineStr">
        <is>
          <t>Accelerations</t>
        </is>
      </c>
      <c r="F6" s="3" t="inlineStr">
        <is>
          <t>Decelerations</t>
        </is>
      </c>
      <c r="G6" s="3" t="inlineStr">
        <is>
          <t>HMLD</t>
        </is>
      </c>
      <c r="H6" s="22" t="inlineStr">
        <is>
          <t>Position</t>
        </is>
      </c>
      <c r="I6" s="22" t="inlineStr">
        <is>
          <t xml:space="preserve">Detail </t>
        </is>
      </c>
    </row>
    <row r="7">
      <c r="A7" t="inlineStr">
        <is>
          <t>A. Zindell</t>
        </is>
      </c>
      <c r="B7" t="n">
        <v>5774.12</v>
      </c>
      <c r="C7" t="n">
        <v>0</v>
      </c>
      <c r="D7" t="n">
        <v>19.58</v>
      </c>
      <c r="E7" t="n">
        <v>14</v>
      </c>
      <c r="F7" t="n">
        <v>14</v>
      </c>
      <c r="G7" t="n">
        <v>411.35</v>
      </c>
      <c r="H7" t="inlineStr">
        <is>
          <t>Midfielders</t>
        </is>
      </c>
      <c r="I7" s="27" t="inlineStr">
        <is>
          <t>Back injury</t>
        </is>
      </c>
    </row>
    <row r="8">
      <c r="A8" t="inlineStr">
        <is>
          <t>C. Wainwright</t>
        </is>
      </c>
      <c r="B8" t="n">
        <v>7291.53</v>
      </c>
      <c r="C8" t="n">
        <v>68.36</v>
      </c>
      <c r="D8" t="n">
        <v>22.78</v>
      </c>
      <c r="E8" t="n">
        <v>36</v>
      </c>
      <c r="F8" t="n">
        <v>40</v>
      </c>
      <c r="G8" t="n">
        <v>856.36</v>
      </c>
      <c r="H8" t="inlineStr">
        <is>
          <t>Midfielders</t>
        </is>
      </c>
    </row>
    <row r="9">
      <c r="A9" s="27" t="inlineStr">
        <is>
          <t>D. Schroeder</t>
        </is>
      </c>
      <c r="B9" t="n">
        <v>4313.48</v>
      </c>
      <c r="C9" t="n">
        <v>12.03</v>
      </c>
      <c r="D9" t="n">
        <v>22.26</v>
      </c>
      <c r="E9" t="n">
        <v>52</v>
      </c>
      <c r="F9" t="n">
        <v>38</v>
      </c>
      <c r="G9" t="n">
        <v>252.24</v>
      </c>
      <c r="H9" t="inlineStr">
        <is>
          <t>Goalkeeper</t>
        </is>
      </c>
    </row>
    <row r="10">
      <c r="A10" t="inlineStr">
        <is>
          <t>D. McAllister</t>
        </is>
      </c>
      <c r="B10" t="n">
        <v>5911.91</v>
      </c>
      <c r="C10" t="n">
        <v>76.06</v>
      </c>
      <c r="D10" t="n">
        <v>23.35</v>
      </c>
      <c r="E10" t="n">
        <v>28</v>
      </c>
      <c r="F10" t="n">
        <v>17</v>
      </c>
      <c r="G10" t="n">
        <v>544.71</v>
      </c>
      <c r="H10" t="inlineStr">
        <is>
          <t>Midfielders</t>
        </is>
      </c>
    </row>
    <row r="11">
      <c r="A11" t="inlineStr">
        <is>
          <t>E. Ingrey</t>
        </is>
      </c>
      <c r="B11" t="n">
        <v>4101.67</v>
      </c>
      <c r="C11" t="n">
        <v>0.55</v>
      </c>
      <c r="D11" t="n">
        <v>19.86</v>
      </c>
      <c r="E11" t="n">
        <v>74</v>
      </c>
      <c r="F11" t="n">
        <v>58</v>
      </c>
      <c r="G11" t="n">
        <v>245.71</v>
      </c>
      <c r="H11" t="inlineStr">
        <is>
          <t>Goalkeeper</t>
        </is>
      </c>
    </row>
    <row r="12">
      <c r="A12" t="inlineStr">
        <is>
          <t>E. Lincoln</t>
        </is>
      </c>
      <c r="B12" t="n">
        <v>6950.08</v>
      </c>
      <c r="C12" t="n">
        <v>85.20999999999999</v>
      </c>
      <c r="D12" t="n">
        <v>24.55</v>
      </c>
      <c r="E12" t="n">
        <v>52</v>
      </c>
      <c r="F12" t="n">
        <v>37</v>
      </c>
      <c r="G12" t="n">
        <v>478.01</v>
      </c>
      <c r="H12" t="inlineStr">
        <is>
          <t>Attackers (8</t>
        </is>
      </c>
    </row>
    <row r="13">
      <c r="A13" t="inlineStr">
        <is>
          <t>E. Nossent</t>
        </is>
      </c>
      <c r="B13" t="n">
        <v>5939.23</v>
      </c>
      <c r="C13" t="n">
        <v>30.93</v>
      </c>
      <c r="D13" t="n">
        <v>21.64</v>
      </c>
      <c r="E13" t="n">
        <v>9</v>
      </c>
      <c r="F13" t="n">
        <v>9</v>
      </c>
      <c r="G13" t="n">
        <v>332.93</v>
      </c>
      <c r="H13" t="inlineStr">
        <is>
          <t>Defenders</t>
        </is>
      </c>
    </row>
    <row r="14">
      <c r="A14" t="inlineStr">
        <is>
          <t>G. Warburton</t>
        </is>
      </c>
      <c r="B14" t="n">
        <v>6476.03</v>
      </c>
      <c r="C14" t="n">
        <v>40.49</v>
      </c>
      <c r="D14" t="n">
        <v>20.82</v>
      </c>
      <c r="E14" t="n">
        <v>23</v>
      </c>
      <c r="F14" t="n">
        <v>14</v>
      </c>
      <c r="G14" t="n">
        <v>403.01</v>
      </c>
      <c r="H14" t="inlineStr">
        <is>
          <t>Midfielders</t>
        </is>
      </c>
    </row>
    <row r="15">
      <c r="A15" t="inlineStr">
        <is>
          <t>J. Flannery</t>
        </is>
      </c>
      <c r="B15" t="n">
        <v>6997.18</v>
      </c>
      <c r="C15" t="n">
        <v>80.77</v>
      </c>
      <c r="D15" t="n">
        <v>25.01</v>
      </c>
      <c r="E15" t="n">
        <v>51</v>
      </c>
      <c r="F15" t="n">
        <v>48</v>
      </c>
      <c r="G15" t="n">
        <v>990.76</v>
      </c>
      <c r="H15" t="inlineStr">
        <is>
          <t>Attackers (8</t>
        </is>
      </c>
    </row>
    <row r="16">
      <c r="A16" t="inlineStr">
        <is>
          <t>K. Mccartney</t>
        </is>
      </c>
      <c r="B16" t="n">
        <v>5992.87</v>
      </c>
      <c r="C16" t="n">
        <v>29.96</v>
      </c>
      <c r="D16" t="n">
        <v>26.23</v>
      </c>
      <c r="E16" t="n">
        <v>17</v>
      </c>
      <c r="F16" t="n">
        <v>13</v>
      </c>
      <c r="G16" t="n">
        <v>311.58</v>
      </c>
      <c r="H16" t="inlineStr">
        <is>
          <t>Defenders</t>
        </is>
      </c>
    </row>
    <row r="17">
      <c r="A17" t="inlineStr">
        <is>
          <t>L. Continibali</t>
        </is>
      </c>
      <c r="B17" t="n">
        <v>6066.98</v>
      </c>
      <c r="C17" t="n">
        <v>20.23</v>
      </c>
      <c r="D17" t="n">
        <v>20.52</v>
      </c>
      <c r="E17" t="n">
        <v>15</v>
      </c>
      <c r="F17" t="n">
        <v>14</v>
      </c>
      <c r="G17" t="n">
        <v>388.21</v>
      </c>
      <c r="H17" t="inlineStr">
        <is>
          <t>Attackers (8</t>
        </is>
      </c>
    </row>
    <row r="18">
      <c r="A18" t="inlineStr">
        <is>
          <t>L. Tana</t>
        </is>
      </c>
      <c r="B18" t="n">
        <v>6342.21</v>
      </c>
      <c r="C18" t="n">
        <v>29.97</v>
      </c>
      <c r="D18" t="n">
        <v>23.32</v>
      </c>
      <c r="E18" t="n">
        <v>12</v>
      </c>
      <c r="F18" t="n">
        <v>15</v>
      </c>
      <c r="G18" t="n">
        <v>635.58</v>
      </c>
      <c r="H18" t="inlineStr">
        <is>
          <t>Defenders</t>
        </is>
      </c>
    </row>
    <row r="19">
      <c r="A19" t="inlineStr">
        <is>
          <t>M. Boehm</t>
        </is>
      </c>
      <c r="B19" t="n">
        <v>6563.66</v>
      </c>
      <c r="C19" t="n">
        <v>87.26000000000001</v>
      </c>
      <c r="D19" t="n">
        <v>25.29</v>
      </c>
      <c r="E19" t="n">
        <v>39</v>
      </c>
      <c r="F19" t="n">
        <v>50</v>
      </c>
      <c r="G19" t="n">
        <v>792.35</v>
      </c>
      <c r="H19" t="inlineStr">
        <is>
          <t>Midfielders</t>
        </is>
      </c>
    </row>
    <row r="20">
      <c r="A20" t="inlineStr">
        <is>
          <t>R. Marshall</t>
        </is>
      </c>
      <c r="B20" t="n">
        <v>7036.88</v>
      </c>
      <c r="C20" t="n">
        <v>85.09999999999999</v>
      </c>
      <c r="D20" t="n">
        <v>26.21</v>
      </c>
      <c r="E20" t="n">
        <v>49</v>
      </c>
      <c r="F20" t="n">
        <v>48</v>
      </c>
      <c r="G20" t="n">
        <v>981.88</v>
      </c>
      <c r="H20" t="inlineStr">
        <is>
          <t>Attackers (8</t>
        </is>
      </c>
    </row>
    <row r="21">
      <c r="A21" t="inlineStr">
        <is>
          <t>S. Mathers</t>
        </is>
      </c>
      <c r="B21" t="n">
        <v>6977.62</v>
      </c>
      <c r="C21" t="n">
        <v>73.52</v>
      </c>
      <c r="D21" t="n">
        <v>22.35</v>
      </c>
      <c r="E21" t="n">
        <v>39</v>
      </c>
      <c r="F21" t="n">
        <v>38</v>
      </c>
      <c r="G21" t="n">
        <v>862</v>
      </c>
      <c r="H21" t="inlineStr">
        <is>
          <t>Midfielders</t>
        </is>
      </c>
    </row>
    <row r="22">
      <c r="A22" t="inlineStr">
        <is>
          <t>T. Attree</t>
        </is>
      </c>
      <c r="B22" t="n">
        <v>6731.04</v>
      </c>
      <c r="C22" t="n">
        <v>49.1</v>
      </c>
      <c r="D22" t="n">
        <v>24.34</v>
      </c>
      <c r="E22" t="n">
        <v>44</v>
      </c>
      <c r="F22" t="n">
        <v>68</v>
      </c>
      <c r="G22" t="n">
        <v>741.36</v>
      </c>
      <c r="H22" t="inlineStr">
        <is>
          <t>Defenders</t>
        </is>
      </c>
    </row>
    <row r="23">
      <c r="A23" t="inlineStr">
        <is>
          <t>X. Dalton</t>
        </is>
      </c>
      <c r="B23" t="n">
        <v>6004.46</v>
      </c>
      <c r="C23" t="n">
        <v>39.59</v>
      </c>
      <c r="D23" t="n">
        <v>20.99</v>
      </c>
      <c r="E23" t="n">
        <v>25</v>
      </c>
      <c r="F23" t="n">
        <v>22</v>
      </c>
      <c r="G23" t="n">
        <v>646.2</v>
      </c>
      <c r="H23" t="inlineStr">
        <is>
          <t>Attackers (8</t>
        </is>
      </c>
    </row>
  </sheetData>
  <dataValidations count="2">
    <dataValidation sqref="H7:H223" showDropDown="0" showInputMessage="0" showErrorMessage="0" allowBlank="1" type="list">
      <formula1>"Defenders,Midfielders,Attackers (8, 9 &amp; 10),Goalkeeper"</formula1>
    </dataValidation>
    <dataValidation sqref="B4" showDropDown="0" showInputMessage="0" showErrorMessage="0" allowBlank="1" type="list">
      <formula1>"Training,Game"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10" defaultColWidth="8.83203125" defaultRowHeight="15"/>
  <cols>
    <col width="24" customWidth="1" style="29" min="1" max="2"/>
  </cols>
  <sheetData>
    <row r="1">
      <c r="A1" s="4" t="inlineStr">
        <is>
          <t>Position Group</t>
        </is>
      </c>
      <c r="B1" s="4" t="inlineStr">
        <is>
          <t>Player Name</t>
        </is>
      </c>
    </row>
    <row r="2">
      <c r="A2" t="inlineStr">
        <is>
          <t>Attackers (8, 9 &amp; 10)</t>
        </is>
      </c>
      <c r="B2" t="inlineStr">
        <is>
          <t>C. Wainwright</t>
        </is>
      </c>
    </row>
    <row r="3">
      <c r="A3" t="inlineStr">
        <is>
          <t>Attackers (8, 9 &amp; 10)</t>
        </is>
      </c>
      <c r="B3" t="inlineStr">
        <is>
          <t>D. Schroeder</t>
        </is>
      </c>
    </row>
    <row r="4">
      <c r="A4" t="inlineStr">
        <is>
          <t>Attackers (8, 9 &amp; 10)</t>
        </is>
      </c>
      <c r="B4" t="inlineStr">
        <is>
          <t>D. McAllister</t>
        </is>
      </c>
    </row>
    <row r="5">
      <c r="A5" t="inlineStr">
        <is>
          <t>Attackers (8, 9 &amp; 10)</t>
        </is>
      </c>
      <c r="B5" t="inlineStr">
        <is>
          <t>E. Ingrey</t>
        </is>
      </c>
    </row>
    <row r="6">
      <c r="A6" t="inlineStr">
        <is>
          <t>Attackers (8, 9 &amp; 10)</t>
        </is>
      </c>
      <c r="B6" t="inlineStr">
        <is>
          <t>E. Lincoln</t>
        </is>
      </c>
    </row>
    <row r="7">
      <c r="A7" t="inlineStr">
        <is>
          <t>Attackers (8, 9 &amp; 10)</t>
        </is>
      </c>
      <c r="B7" t="inlineStr">
        <is>
          <t>E. Nossent</t>
        </is>
      </c>
    </row>
    <row r="8">
      <c r="A8" t="inlineStr">
        <is>
          <t>Attackers (8, 9 &amp; 10)</t>
        </is>
      </c>
      <c r="B8" t="inlineStr">
        <is>
          <t>G. Warburton</t>
        </is>
      </c>
    </row>
    <row r="9">
      <c r="A9" t="inlineStr">
        <is>
          <t>Attackers (8, 9 &amp; 10)</t>
        </is>
      </c>
      <c r="B9" t="inlineStr">
        <is>
          <t>J. Flannery</t>
        </is>
      </c>
    </row>
    <row r="10">
      <c r="A10" t="inlineStr">
        <is>
          <t>Attackers (8, 9 &amp; 10)</t>
        </is>
      </c>
      <c r="B10" t="inlineStr">
        <is>
          <t>K. Mccartney</t>
        </is>
      </c>
    </row>
    <row r="11">
      <c r="A11" t="inlineStr">
        <is>
          <t>Attackers (8, 9 &amp; 10)</t>
        </is>
      </c>
      <c r="B11" t="inlineStr">
        <is>
          <t>L. Continibali</t>
        </is>
      </c>
    </row>
    <row r="12">
      <c r="A12" t="inlineStr">
        <is>
          <t>Attackers (8, 9 &amp; 10)</t>
        </is>
      </c>
      <c r="B12" t="inlineStr">
        <is>
          <t>L. Tana</t>
        </is>
      </c>
    </row>
    <row r="13">
      <c r="A13" t="inlineStr">
        <is>
          <t>Attackers (8, 9 &amp; 10)</t>
        </is>
      </c>
      <c r="B13" t="inlineStr">
        <is>
          <t>M. Boehm</t>
        </is>
      </c>
    </row>
    <row r="14">
      <c r="A14" t="inlineStr">
        <is>
          <t>Attackers (8, 9 &amp; 10)</t>
        </is>
      </c>
      <c r="B14" t="inlineStr">
        <is>
          <t>R. Marshall</t>
        </is>
      </c>
    </row>
    <row r="15">
      <c r="A15" t="inlineStr">
        <is>
          <t>Attackers (8, 9 &amp; 10)</t>
        </is>
      </c>
      <c r="B15" t="inlineStr">
        <is>
          <t>S. Mathers</t>
        </is>
      </c>
    </row>
    <row r="16">
      <c r="A16" t="inlineStr">
        <is>
          <t>Attackers (8, 9 &amp; 10)</t>
        </is>
      </c>
      <c r="B16" t="inlineStr">
        <is>
          <t>T. Attree</t>
        </is>
      </c>
    </row>
    <row r="17">
      <c r="A17" t="inlineStr">
        <is>
          <t>Attackers (8, 9 &amp; 10)</t>
        </is>
      </c>
      <c r="B17" t="inlineStr">
        <is>
          <t>X. Dalton</t>
        </is>
      </c>
    </row>
    <row r="18">
      <c r="A18" t="inlineStr">
        <is>
          <t>Midfielders</t>
        </is>
      </c>
      <c r="B18" t="inlineStr">
        <is>
          <t>A. Zindell</t>
        </is>
      </c>
    </row>
    <row r="19">
      <c r="A19" t="inlineStr">
        <is>
          <t>Midfielders</t>
        </is>
      </c>
      <c r="B19" t="inlineStr">
        <is>
          <t>C. Wainwright</t>
        </is>
      </c>
    </row>
    <row r="20">
      <c r="A20" t="inlineStr">
        <is>
          <t>Midfielders</t>
        </is>
      </c>
      <c r="B20" t="inlineStr">
        <is>
          <t>D. Schroeder</t>
        </is>
      </c>
    </row>
    <row r="21">
      <c r="A21" t="inlineStr">
        <is>
          <t>Midfielders</t>
        </is>
      </c>
      <c r="B21" t="inlineStr">
        <is>
          <t>D. McAllister</t>
        </is>
      </c>
    </row>
    <row r="22">
      <c r="A22" t="inlineStr">
        <is>
          <t>Midfielders</t>
        </is>
      </c>
      <c r="B22" t="inlineStr">
        <is>
          <t>E. Ingrey</t>
        </is>
      </c>
    </row>
    <row r="23">
      <c r="A23" t="inlineStr">
        <is>
          <t>Midfielders</t>
        </is>
      </c>
      <c r="B23" t="inlineStr">
        <is>
          <t>E. Lincoln</t>
        </is>
      </c>
    </row>
    <row r="24">
      <c r="A24" t="inlineStr">
        <is>
          <t>Midfielders</t>
        </is>
      </c>
      <c r="B24" t="inlineStr">
        <is>
          <t>E. Nossent</t>
        </is>
      </c>
    </row>
    <row r="25">
      <c r="A25" t="inlineStr">
        <is>
          <t>Midfielders</t>
        </is>
      </c>
      <c r="B25" t="inlineStr">
        <is>
          <t>G. Warburton</t>
        </is>
      </c>
    </row>
    <row r="26">
      <c r="A26" t="inlineStr">
        <is>
          <t>Midfielders</t>
        </is>
      </c>
      <c r="B26" t="inlineStr">
        <is>
          <t>J. Flannery</t>
        </is>
      </c>
    </row>
    <row r="27">
      <c r="A27" t="inlineStr">
        <is>
          <t>Midfielders</t>
        </is>
      </c>
      <c r="B27" t="inlineStr">
        <is>
          <t>K. Mccartney</t>
        </is>
      </c>
    </row>
    <row r="28">
      <c r="A28" t="inlineStr">
        <is>
          <t>Midfielders</t>
        </is>
      </c>
      <c r="B28" t="inlineStr">
        <is>
          <t>L. Continibali</t>
        </is>
      </c>
    </row>
    <row r="29">
      <c r="A29" t="inlineStr">
        <is>
          <t>Midfielders</t>
        </is>
      </c>
      <c r="B29" t="inlineStr">
        <is>
          <t>L. Tana</t>
        </is>
      </c>
    </row>
    <row r="30">
      <c r="A30" t="inlineStr">
        <is>
          <t>Midfielders</t>
        </is>
      </c>
      <c r="B30" t="inlineStr">
        <is>
          <t>M. Boehm</t>
        </is>
      </c>
    </row>
    <row r="31">
      <c r="A31" t="inlineStr">
        <is>
          <t>Midfielders</t>
        </is>
      </c>
      <c r="B31" t="inlineStr">
        <is>
          <t>R. Marshall</t>
        </is>
      </c>
    </row>
    <row r="32">
      <c r="A32" t="inlineStr">
        <is>
          <t>Midfielders</t>
        </is>
      </c>
      <c r="B32" t="inlineStr">
        <is>
          <t>S. Mathers</t>
        </is>
      </c>
    </row>
    <row r="33">
      <c r="A33" t="inlineStr">
        <is>
          <t>Defenders</t>
        </is>
      </c>
      <c r="B33" t="inlineStr">
        <is>
          <t>D. Schroeder</t>
        </is>
      </c>
    </row>
    <row r="34">
      <c r="A34" t="inlineStr">
        <is>
          <t>Defenders</t>
        </is>
      </c>
      <c r="B34" t="inlineStr">
        <is>
          <t>D. McAllister</t>
        </is>
      </c>
    </row>
    <row r="35">
      <c r="A35" t="inlineStr">
        <is>
          <t>Defenders</t>
        </is>
      </c>
      <c r="B35" t="inlineStr">
        <is>
          <t>E. Ingrey</t>
        </is>
      </c>
    </row>
    <row r="36">
      <c r="A36" t="inlineStr">
        <is>
          <t>Defenders</t>
        </is>
      </c>
      <c r="B36" t="inlineStr">
        <is>
          <t>E. Lincoln</t>
        </is>
      </c>
    </row>
    <row r="37">
      <c r="A37" t="inlineStr">
        <is>
          <t>Defenders</t>
        </is>
      </c>
      <c r="B37" t="inlineStr">
        <is>
          <t>E. Nossent</t>
        </is>
      </c>
    </row>
    <row r="38">
      <c r="A38" t="inlineStr">
        <is>
          <t>Defenders</t>
        </is>
      </c>
      <c r="B38" t="inlineStr">
        <is>
          <t>G. Warburton</t>
        </is>
      </c>
    </row>
    <row r="39">
      <c r="A39" t="inlineStr">
        <is>
          <t>Defenders</t>
        </is>
      </c>
      <c r="B39" t="inlineStr">
        <is>
          <t>J. Flannery</t>
        </is>
      </c>
    </row>
    <row r="40">
      <c r="A40" t="inlineStr">
        <is>
          <t>Defenders</t>
        </is>
      </c>
      <c r="B40" t="inlineStr">
        <is>
          <t>K. Mccartney</t>
        </is>
      </c>
    </row>
    <row r="41">
      <c r="A41" t="inlineStr">
        <is>
          <t>Defenders</t>
        </is>
      </c>
      <c r="B41" t="inlineStr">
        <is>
          <t>L. Continibali</t>
        </is>
      </c>
    </row>
    <row r="42">
      <c r="A42" t="inlineStr">
        <is>
          <t>Defenders</t>
        </is>
      </c>
      <c r="B42" t="inlineStr">
        <is>
          <t>L. Tana</t>
        </is>
      </c>
    </row>
    <row r="43">
      <c r="A43" t="inlineStr">
        <is>
          <t>Defenders</t>
        </is>
      </c>
      <c r="B43" t="inlineStr">
        <is>
          <t>M. Boehm</t>
        </is>
      </c>
    </row>
    <row r="44">
      <c r="A44" t="inlineStr">
        <is>
          <t>Defenders</t>
        </is>
      </c>
      <c r="B44" t="inlineStr">
        <is>
          <t>R. Marshall</t>
        </is>
      </c>
    </row>
    <row r="45">
      <c r="A45" t="inlineStr">
        <is>
          <t>Defenders</t>
        </is>
      </c>
      <c r="B45" t="inlineStr">
        <is>
          <t>S. Mathers</t>
        </is>
      </c>
    </row>
    <row r="46">
      <c r="A46" t="inlineStr">
        <is>
          <t>Defenders</t>
        </is>
      </c>
      <c r="B46" t="inlineStr">
        <is>
          <t>T. Attree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:H1"/>
    </sheetView>
  </sheetViews>
  <sheetFormatPr baseColWidth="10" defaultColWidth="8.83203125" defaultRowHeight="15"/>
  <cols>
    <col width="18" customWidth="1" style="29" min="1" max="1"/>
    <col width="15" customWidth="1" style="29" min="2" max="2"/>
    <col width="18" customWidth="1" style="29" min="3" max="3"/>
    <col width="12" customWidth="1" style="29" min="4" max="4"/>
    <col width="14" customWidth="1" style="29" min="5" max="6"/>
    <col width="12" customWidth="1" style="29" min="7" max="7"/>
    <col width="10" customWidth="1" style="29" min="8" max="8"/>
    <col width="22" customWidth="1" style="29" min="10" max="10"/>
    <col width="16" customWidth="1" style="29" min="11" max="11"/>
  </cols>
  <sheetData>
    <row r="1" ht="24" customHeight="1" s="29">
      <c r="A1" s="30" t="inlineStr">
        <is>
          <t>Perth SC – Senior Women</t>
        </is>
      </c>
    </row>
    <row r="2" ht="19" customHeight="1" s="29">
      <c r="A2" s="32" t="inlineStr">
        <is>
          <t>GPS Position Comparisons Dashboard</t>
        </is>
      </c>
    </row>
    <row r="3">
      <c r="A3" s="31" t="inlineStr">
        <is>
          <t>Compare players by soccer role groups: Attackers, Midfielders, and Defenders. Update GPS Data and this dashboard will refresh.</t>
        </is>
      </c>
    </row>
    <row r="5" ht="17" customHeight="1" s="29">
      <c r="A5" s="28" t="inlineStr">
        <is>
          <t xml:space="preserve">Training session </t>
        </is>
      </c>
      <c r="J5" s="4" t="inlineStr">
        <is>
          <t>Group Summary</t>
        </is>
      </c>
      <c r="K5" s="4" t="inlineStr">
        <is>
          <t>Value</t>
        </is>
      </c>
    </row>
    <row r="6" ht="16" customHeight="1" s="29">
      <c r="A6" s="11" t="inlineStr">
        <is>
          <t>Player Name</t>
        </is>
      </c>
      <c r="B6" s="12" t="inlineStr">
        <is>
          <t>Total Distance</t>
        </is>
      </c>
      <c r="C6" s="12" t="inlineStr">
        <is>
          <t>High Speed Running</t>
        </is>
      </c>
      <c r="D6" s="12" t="inlineStr">
        <is>
          <t>Max Speed</t>
        </is>
      </c>
      <c r="E6" s="12" t="inlineStr">
        <is>
          <t>Accelerations</t>
        </is>
      </c>
      <c r="F6" s="12" t="inlineStr">
        <is>
          <t>Decelerations</t>
        </is>
      </c>
      <c r="G6" s="12" t="inlineStr">
        <is>
          <t>HMLD</t>
        </is>
      </c>
      <c r="H6" s="13" t="inlineStr">
        <is>
          <t>HMLD Rank</t>
        </is>
      </c>
      <c r="J6" s="5" t="inlineStr">
        <is>
          <t>Players</t>
        </is>
      </c>
      <c r="K6" s="6" t="n">
        <v>16</v>
      </c>
    </row>
    <row r="7">
      <c r="A7" s="14" t="inlineStr">
        <is>
          <t>Charli</t>
        </is>
      </c>
      <c r="B7" s="16">
        <f>IFERROR(VLOOKUP($A7,'GPS Data'!$A$7:$G$23,2,FALSE),"")</f>
        <v/>
      </c>
      <c r="C7" s="16">
        <f>IFERROR(VLOOKUP($A7,'GPS Data'!$A$7:$G$23,3,FALSE),"")</f>
        <v/>
      </c>
      <c r="D7" s="16">
        <f>IFERROR(VLOOKUP($A7,'GPS Data'!$A$7:$G$23,4,FALSE),"")</f>
        <v/>
      </c>
      <c r="E7" s="18">
        <f>IFERROR(VLOOKUP($A7,'GPS Data'!$A$7:$G$23,5,FALSE),"")</f>
        <v/>
      </c>
      <c r="F7" s="18">
        <f>IFERROR(VLOOKUP($A7,'GPS Data'!$A$7:$G$23,6,FALSE),"")</f>
        <v/>
      </c>
      <c r="G7" s="16">
        <f>IFERROR(VLOOKUP($A7,'GPS Data'!$A$7:$G$23,7,FALSE),"")</f>
        <v/>
      </c>
      <c r="H7" s="20">
        <f>IFERROR(_xludf.RANK.EQ(G7,$G$7:$G$22,0),"")</f>
        <v/>
      </c>
      <c r="J7" s="7" t="inlineStr">
        <is>
          <t>Avg Total Distance</t>
        </is>
      </c>
      <c r="K7" s="8">
        <f>AVERAGE(B7:B22)</f>
        <v/>
      </c>
    </row>
    <row r="8">
      <c r="A8" s="14" t="inlineStr">
        <is>
          <t>Dale</t>
        </is>
      </c>
      <c r="B8" s="16">
        <f>IFERROR(VLOOKUP($A8,'GPS Data'!$A$7:$G$23,2,FALSE),"")</f>
        <v/>
      </c>
      <c r="C8" s="16">
        <f>IFERROR(VLOOKUP($A8,'GPS Data'!$A$7:$G$23,3,FALSE),"")</f>
        <v/>
      </c>
      <c r="D8" s="16">
        <f>IFERROR(VLOOKUP($A8,'GPS Data'!$A$7:$G$23,4,FALSE),"")</f>
        <v/>
      </c>
      <c r="E8" s="18">
        <f>IFERROR(VLOOKUP($A8,'GPS Data'!$A$7:$G$23,5,FALSE),"")</f>
        <v/>
      </c>
      <c r="F8" s="18">
        <f>IFERROR(VLOOKUP($A8,'GPS Data'!$A$7:$G$23,6,FALSE),"")</f>
        <v/>
      </c>
      <c r="G8" s="16">
        <f>IFERROR(VLOOKUP($A8,'GPS Data'!$A$7:$G$23,7,FALSE),"")</f>
        <v/>
      </c>
      <c r="H8" s="20">
        <f>IFERROR(_xludf.RANK.EQ(G8,$G$7:$G$22,0),"")</f>
        <v/>
      </c>
      <c r="J8" s="7" t="inlineStr">
        <is>
          <t>Avg HSR</t>
        </is>
      </c>
      <c r="K8" s="8">
        <f>AVERAGE(C7:C22)</f>
        <v/>
      </c>
    </row>
    <row r="9">
      <c r="A9" s="14" t="inlineStr">
        <is>
          <t>Daisy</t>
        </is>
      </c>
      <c r="B9" s="16">
        <f>IFERROR(VLOOKUP($A9,'GPS Data'!$A$7:$G$23,2,FALSE),"")</f>
        <v/>
      </c>
      <c r="C9" s="16">
        <f>IFERROR(VLOOKUP($A9,'GPS Data'!$A$7:$G$23,3,FALSE),"")</f>
        <v/>
      </c>
      <c r="D9" s="16">
        <f>IFERROR(VLOOKUP($A9,'GPS Data'!$A$7:$G$23,4,FALSE),"")</f>
        <v/>
      </c>
      <c r="E9" s="18">
        <f>IFERROR(VLOOKUP($A9,'GPS Data'!$A$7:$G$23,5,FALSE),"")</f>
        <v/>
      </c>
      <c r="F9" s="18">
        <f>IFERROR(VLOOKUP($A9,'GPS Data'!$A$7:$G$23,6,FALSE),"")</f>
        <v/>
      </c>
      <c r="G9" s="16">
        <f>IFERROR(VLOOKUP($A9,'GPS Data'!$A$7:$G$23,7,FALSE),"")</f>
        <v/>
      </c>
      <c r="H9" s="20">
        <f>IFERROR(_xludf.RANK.EQ(G9,$G$7:$G$22,0),"")</f>
        <v/>
      </c>
      <c r="J9" s="7" t="inlineStr">
        <is>
          <t>Avg Max Speed</t>
        </is>
      </c>
      <c r="K9" s="8">
        <f>AVERAGE(D7:D22)</f>
        <v/>
      </c>
    </row>
    <row r="10">
      <c r="A10" s="14" t="inlineStr">
        <is>
          <t>Emme</t>
        </is>
      </c>
      <c r="B10" s="16">
        <f>IFERROR(VLOOKUP($A10,'GPS Data'!$A$7:$G$23,2,FALSE),"")</f>
        <v/>
      </c>
      <c r="C10" s="16">
        <f>IFERROR(VLOOKUP($A10,'GPS Data'!$A$7:$G$23,3,FALSE),"")</f>
        <v/>
      </c>
      <c r="D10" s="16">
        <f>IFERROR(VLOOKUP($A10,'GPS Data'!$A$7:$G$23,4,FALSE),"")</f>
        <v/>
      </c>
      <c r="E10" s="18">
        <f>IFERROR(VLOOKUP($A10,'GPS Data'!$A$7:$G$23,5,FALSE),"")</f>
        <v/>
      </c>
      <c r="F10" s="18">
        <f>IFERROR(VLOOKUP($A10,'GPS Data'!$A$7:$G$23,6,FALSE),"")</f>
        <v/>
      </c>
      <c r="G10" s="16">
        <f>IFERROR(VLOOKUP($A10,'GPS Data'!$A$7:$G$23,7,FALSE),"")</f>
        <v/>
      </c>
      <c r="H10" s="20">
        <f>IFERROR(_xludf.RANK.EQ(G10,$G$7:$G$22,0),"")</f>
        <v/>
      </c>
      <c r="J10" s="7" t="inlineStr">
        <is>
          <t>Avg HMLD</t>
        </is>
      </c>
      <c r="K10" s="8">
        <f>AVERAGE(G7:G22)</f>
        <v/>
      </c>
    </row>
    <row r="11">
      <c r="A11" s="14" t="inlineStr">
        <is>
          <t>Ella</t>
        </is>
      </c>
      <c r="B11" s="16">
        <f>IFERROR(VLOOKUP($A11,'GPS Data'!$A$7:$G$23,2,FALSE),"")</f>
        <v/>
      </c>
      <c r="C11" s="16">
        <f>IFERROR(VLOOKUP($A11,'GPS Data'!$A$7:$G$23,3,FALSE),"")</f>
        <v/>
      </c>
      <c r="D11" s="16">
        <f>IFERROR(VLOOKUP($A11,'GPS Data'!$A$7:$G$23,4,FALSE),"")</f>
        <v/>
      </c>
      <c r="E11" s="18">
        <f>IFERROR(VLOOKUP($A11,'GPS Data'!$A$7:$G$23,5,FALSE),"")</f>
        <v/>
      </c>
      <c r="F11" s="18">
        <f>IFERROR(VLOOKUP($A11,'GPS Data'!$A$7:$G$23,6,FALSE),"")</f>
        <v/>
      </c>
      <c r="G11" s="16">
        <f>IFERROR(VLOOKUP($A11,'GPS Data'!$A$7:$G$23,7,FALSE),"")</f>
        <v/>
      </c>
      <c r="H11" s="20">
        <f>IFERROR(_xludf.RANK.EQ(G11,$G$7:$G$22,0),"")</f>
        <v/>
      </c>
      <c r="J11" s="9" t="inlineStr">
        <is>
          <t>Highest HMLD</t>
        </is>
      </c>
      <c r="K11" s="10">
        <f>MAX(G7:G22)</f>
        <v/>
      </c>
    </row>
    <row r="12">
      <c r="A12" s="14" t="inlineStr">
        <is>
          <t>Epril</t>
        </is>
      </c>
      <c r="B12" s="16">
        <f>IFERROR(VLOOKUP($A12,'GPS Data'!$A$7:$G$23,2,FALSE),"")</f>
        <v/>
      </c>
      <c r="C12" s="16">
        <f>IFERROR(VLOOKUP($A12,'GPS Data'!$A$7:$G$23,3,FALSE),"")</f>
        <v/>
      </c>
      <c r="D12" s="16">
        <f>IFERROR(VLOOKUP($A12,'GPS Data'!$A$7:$G$23,4,FALSE),"")</f>
        <v/>
      </c>
      <c r="E12" s="18">
        <f>IFERROR(VLOOKUP($A12,'GPS Data'!$A$7:$G$23,5,FALSE),"")</f>
        <v/>
      </c>
      <c r="F12" s="18">
        <f>IFERROR(VLOOKUP($A12,'GPS Data'!$A$7:$G$23,6,FALSE),"")</f>
        <v/>
      </c>
      <c r="G12" s="16">
        <f>IFERROR(VLOOKUP($A12,'GPS Data'!$A$7:$G$23,7,FALSE),"")</f>
        <v/>
      </c>
      <c r="H12" s="20">
        <f>IFERROR(_xludf.RANK.EQ(G12,$G$7:$G$22,0),"")</f>
        <v/>
      </c>
    </row>
    <row r="13">
      <c r="A13" s="14" t="inlineStr">
        <is>
          <t>Grace</t>
        </is>
      </c>
      <c r="B13" s="16">
        <f>IFERROR(VLOOKUP($A13,'GPS Data'!$A$7:$G$23,2,FALSE),"")</f>
        <v/>
      </c>
      <c r="C13" s="16">
        <f>IFERROR(VLOOKUP($A13,'GPS Data'!$A$7:$G$23,3,FALSE),"")</f>
        <v/>
      </c>
      <c r="D13" s="16">
        <f>IFERROR(VLOOKUP($A13,'GPS Data'!$A$7:$G$23,4,FALSE),"")</f>
        <v/>
      </c>
      <c r="E13" s="18">
        <f>IFERROR(VLOOKUP($A13,'GPS Data'!$A$7:$G$23,5,FALSE),"")</f>
        <v/>
      </c>
      <c r="F13" s="18">
        <f>IFERROR(VLOOKUP($A13,'GPS Data'!$A$7:$G$23,6,FALSE),"")</f>
        <v/>
      </c>
      <c r="G13" s="16">
        <f>IFERROR(VLOOKUP($A13,'GPS Data'!$A$7:$G$23,7,FALSE),"")</f>
        <v/>
      </c>
      <c r="H13" s="20">
        <f>IFERROR(_xludf.RANK.EQ(G13,$G$7:$G$22,0),"")</f>
        <v/>
      </c>
    </row>
    <row r="14">
      <c r="A14" s="14" t="inlineStr">
        <is>
          <t>Jessica</t>
        </is>
      </c>
      <c r="B14" s="16">
        <f>IFERROR(VLOOKUP($A14,'GPS Data'!$A$7:$G$23,2,FALSE),"")</f>
        <v/>
      </c>
      <c r="C14" s="16">
        <f>IFERROR(VLOOKUP($A14,'GPS Data'!$A$7:$G$23,3,FALSE),"")</f>
        <v/>
      </c>
      <c r="D14" s="16">
        <f>IFERROR(VLOOKUP($A14,'GPS Data'!$A$7:$G$23,4,FALSE),"")</f>
        <v/>
      </c>
      <c r="E14" s="18">
        <f>IFERROR(VLOOKUP($A14,'GPS Data'!$A$7:$G$23,5,FALSE),"")</f>
        <v/>
      </c>
      <c r="F14" s="18">
        <f>IFERROR(VLOOKUP($A14,'GPS Data'!$A$7:$G$23,6,FALSE),"")</f>
        <v/>
      </c>
      <c r="G14" s="16">
        <f>IFERROR(VLOOKUP($A14,'GPS Data'!$A$7:$G$23,7,FALSE),"")</f>
        <v/>
      </c>
      <c r="H14" s="20">
        <f>IFERROR(_xludf.RANK.EQ(G14,$G$7:$G$22,0),"")</f>
        <v/>
      </c>
    </row>
    <row r="15">
      <c r="A15" s="14" t="inlineStr">
        <is>
          <t>Kim</t>
        </is>
      </c>
      <c r="B15" s="16">
        <f>IFERROR(VLOOKUP($A15,'GPS Data'!$A$7:$G$23,2,FALSE),"")</f>
        <v/>
      </c>
      <c r="C15" s="16">
        <f>IFERROR(VLOOKUP($A15,'GPS Data'!$A$7:$G$23,3,FALSE),"")</f>
        <v/>
      </c>
      <c r="D15" s="16">
        <f>IFERROR(VLOOKUP($A15,'GPS Data'!$A$7:$G$23,4,FALSE),"")</f>
        <v/>
      </c>
      <c r="E15" s="18">
        <f>IFERROR(VLOOKUP($A15,'GPS Data'!$A$7:$G$23,5,FALSE),"")</f>
        <v/>
      </c>
      <c r="F15" s="18">
        <f>IFERROR(VLOOKUP($A15,'GPS Data'!$A$7:$G$23,6,FALSE),"")</f>
        <v/>
      </c>
      <c r="G15" s="16">
        <f>IFERROR(VLOOKUP($A15,'GPS Data'!$A$7:$G$23,7,FALSE),"")</f>
        <v/>
      </c>
      <c r="H15" s="20">
        <f>IFERROR(_xludf.RANK.EQ(G15,$G$7:$G$22,0),"")</f>
        <v/>
      </c>
    </row>
    <row r="16">
      <c r="A16" s="14" t="inlineStr">
        <is>
          <t>Lauren</t>
        </is>
      </c>
      <c r="B16" s="16">
        <f>IFERROR(VLOOKUP($A16,'GPS Data'!$A$7:$G$23,2,FALSE),"")</f>
        <v/>
      </c>
      <c r="C16" s="16">
        <f>IFERROR(VLOOKUP($A16,'GPS Data'!$A$7:$G$23,3,FALSE),"")</f>
        <v/>
      </c>
      <c r="D16" s="16">
        <f>IFERROR(VLOOKUP($A16,'GPS Data'!$A$7:$G$23,4,FALSE),"")</f>
        <v/>
      </c>
      <c r="E16" s="18">
        <f>IFERROR(VLOOKUP($A16,'GPS Data'!$A$7:$G$23,5,FALSE),"")</f>
        <v/>
      </c>
      <c r="F16" s="18">
        <f>IFERROR(VLOOKUP($A16,'GPS Data'!$A$7:$G$23,6,FALSE),"")</f>
        <v/>
      </c>
      <c r="G16" s="16">
        <f>IFERROR(VLOOKUP($A16,'GPS Data'!$A$7:$G$23,7,FALSE),"")</f>
        <v/>
      </c>
      <c r="H16" s="20">
        <f>IFERROR(_xludf.RANK.EQ(G16,$G$7:$G$22,0),"")</f>
        <v/>
      </c>
    </row>
    <row r="17">
      <c r="A17" s="14" t="inlineStr">
        <is>
          <t>Louise</t>
        </is>
      </c>
      <c r="B17" s="16">
        <f>IFERROR(VLOOKUP($A17,'GPS Data'!$A$7:$G$23,2,FALSE),"")</f>
        <v/>
      </c>
      <c r="C17" s="16">
        <f>IFERROR(VLOOKUP($A17,'GPS Data'!$A$7:$G$23,3,FALSE),"")</f>
        <v/>
      </c>
      <c r="D17" s="16">
        <f>IFERROR(VLOOKUP($A17,'GPS Data'!$A$7:$G$23,4,FALSE),"")</f>
        <v/>
      </c>
      <c r="E17" s="18">
        <f>IFERROR(VLOOKUP($A17,'GPS Data'!$A$7:$G$23,5,FALSE),"")</f>
        <v/>
      </c>
      <c r="F17" s="18">
        <f>IFERROR(VLOOKUP($A17,'GPS Data'!$A$7:$G$23,6,FALSE),"")</f>
        <v/>
      </c>
      <c r="G17" s="16">
        <f>IFERROR(VLOOKUP($A17,'GPS Data'!$A$7:$G$23,7,FALSE),"")</f>
        <v/>
      </c>
      <c r="H17" s="20">
        <f>IFERROR(_xludf.RANK.EQ(G17,$G$7:$G$22,0),"")</f>
        <v/>
      </c>
    </row>
    <row r="18">
      <c r="A18" s="14" t="inlineStr">
        <is>
          <t>Macey</t>
        </is>
      </c>
      <c r="B18" s="16">
        <f>IFERROR(VLOOKUP($A18,'GPS Data'!$A$7:$G$23,2,FALSE),"")</f>
        <v/>
      </c>
      <c r="C18" s="16">
        <f>IFERROR(VLOOKUP($A18,'GPS Data'!$A$7:$G$23,3,FALSE),"")</f>
        <v/>
      </c>
      <c r="D18" s="16">
        <f>IFERROR(VLOOKUP($A18,'GPS Data'!$A$7:$G$23,4,FALSE),"")</f>
        <v/>
      </c>
      <c r="E18" s="18">
        <f>IFERROR(VLOOKUP($A18,'GPS Data'!$A$7:$G$23,5,FALSE),"")</f>
        <v/>
      </c>
      <c r="F18" s="18">
        <f>IFERROR(VLOOKUP($A18,'GPS Data'!$A$7:$G$23,6,FALSE),"")</f>
        <v/>
      </c>
      <c r="G18" s="16">
        <f>IFERROR(VLOOKUP($A18,'GPS Data'!$A$7:$G$23,7,FALSE),"")</f>
        <v/>
      </c>
      <c r="H18" s="20">
        <f>IFERROR(_xludf.RANK.EQ(G18,$G$7:$G$22,0),"")</f>
        <v/>
      </c>
    </row>
    <row r="19">
      <c r="A19" s="14" t="inlineStr">
        <is>
          <t>Ruby</t>
        </is>
      </c>
      <c r="B19" s="16">
        <f>IFERROR(VLOOKUP($A19,'GPS Data'!$A$7:$G$23,2,FALSE),"")</f>
        <v/>
      </c>
      <c r="C19" s="16">
        <f>IFERROR(VLOOKUP($A19,'GPS Data'!$A$7:$G$23,3,FALSE),"")</f>
        <v/>
      </c>
      <c r="D19" s="16">
        <f>IFERROR(VLOOKUP($A19,'GPS Data'!$A$7:$G$23,4,FALSE),"")</f>
        <v/>
      </c>
      <c r="E19" s="18">
        <f>IFERROR(VLOOKUP($A19,'GPS Data'!$A$7:$G$23,5,FALSE),"")</f>
        <v/>
      </c>
      <c r="F19" s="18">
        <f>IFERROR(VLOOKUP($A19,'GPS Data'!$A$7:$G$23,6,FALSE),"")</f>
        <v/>
      </c>
      <c r="G19" s="16">
        <f>IFERROR(VLOOKUP($A19,'GPS Data'!$A$7:$G$23,7,FALSE),"")</f>
        <v/>
      </c>
      <c r="H19" s="20">
        <f>IFERROR(_xludf.RANK.EQ(G19,$G$7:$G$22,0),"")</f>
        <v/>
      </c>
    </row>
    <row r="20">
      <c r="A20" s="14" t="inlineStr">
        <is>
          <t>Sam</t>
        </is>
      </c>
      <c r="B20" s="16">
        <f>IFERROR(VLOOKUP($A20,'GPS Data'!$A$7:$G$23,2,FALSE),"")</f>
        <v/>
      </c>
      <c r="C20" s="16">
        <f>IFERROR(VLOOKUP($A20,'GPS Data'!$A$7:$G$23,3,FALSE),"")</f>
        <v/>
      </c>
      <c r="D20" s="16">
        <f>IFERROR(VLOOKUP($A20,'GPS Data'!$A$7:$G$23,4,FALSE),"")</f>
        <v/>
      </c>
      <c r="E20" s="18">
        <f>IFERROR(VLOOKUP($A20,'GPS Data'!$A$7:$G$23,5,FALSE),"")</f>
        <v/>
      </c>
      <c r="F20" s="18">
        <f>IFERROR(VLOOKUP($A20,'GPS Data'!$A$7:$G$23,6,FALSE),"")</f>
        <v/>
      </c>
      <c r="G20" s="16">
        <f>IFERROR(VLOOKUP($A20,'GPS Data'!$A$7:$G$23,7,FALSE),"")</f>
        <v/>
      </c>
      <c r="H20" s="20">
        <f>IFERROR(_xludf.RANK.EQ(G20,$G$7:$G$22,0),"")</f>
        <v/>
      </c>
    </row>
    <row r="21">
      <c r="A21" s="14" t="inlineStr">
        <is>
          <t>Tristen</t>
        </is>
      </c>
      <c r="B21" s="16">
        <f>IFERROR(VLOOKUP($A21,'GPS Data'!$A$7:$G$23,2,FALSE),"")</f>
        <v/>
      </c>
      <c r="C21" s="16">
        <f>IFERROR(VLOOKUP($A21,'GPS Data'!$A$7:$G$23,3,FALSE),"")</f>
        <v/>
      </c>
      <c r="D21" s="16">
        <f>IFERROR(VLOOKUP($A21,'GPS Data'!$A$7:$G$23,4,FALSE),"")</f>
        <v/>
      </c>
      <c r="E21" s="18">
        <f>IFERROR(VLOOKUP($A21,'GPS Data'!$A$7:$G$23,5,FALSE),"")</f>
        <v/>
      </c>
      <c r="F21" s="18">
        <f>IFERROR(VLOOKUP($A21,'GPS Data'!$A$7:$G$23,6,FALSE),"")</f>
        <v/>
      </c>
      <c r="G21" s="16">
        <f>IFERROR(VLOOKUP($A21,'GPS Data'!$A$7:$G$23,7,FALSE),"")</f>
        <v/>
      </c>
      <c r="H21" s="20">
        <f>IFERROR(_xludf.RANK.EQ(G21,$G$7:$G$22,0),"")</f>
        <v/>
      </c>
    </row>
    <row r="22">
      <c r="A22" s="15" t="inlineStr">
        <is>
          <t>Xuri</t>
        </is>
      </c>
      <c r="B22" s="17">
        <f>IFERROR(VLOOKUP($A22,'GPS Data'!$A$7:$G$23,2,FALSE),"")</f>
        <v/>
      </c>
      <c r="C22" s="17">
        <f>IFERROR(VLOOKUP($A22,'GPS Data'!$A$7:$G$23,3,FALSE),"")</f>
        <v/>
      </c>
      <c r="D22" s="17">
        <f>IFERROR(VLOOKUP($A22,'GPS Data'!$A$7:$G$23,4,FALSE),"")</f>
        <v/>
      </c>
      <c r="E22" s="19">
        <f>IFERROR(VLOOKUP($A22,'GPS Data'!$A$7:$G$23,5,FALSE),"")</f>
        <v/>
      </c>
      <c r="F22" s="19">
        <f>IFERROR(VLOOKUP($A22,'GPS Data'!$A$7:$G$23,6,FALSE),"")</f>
        <v/>
      </c>
      <c r="G22" s="17">
        <f>IFERROR(VLOOKUP($A22,'GPS Data'!$A$7:$G$23,7,FALSE),"")</f>
        <v/>
      </c>
      <c r="H22" s="21">
        <f>IFERROR(_xludf.RANK.EQ(G22,$G$7:$G$22,0),"")</f>
        <v/>
      </c>
    </row>
    <row r="29" ht="17" customHeight="1" s="29">
      <c r="A29" s="28" t="n"/>
      <c r="J29" s="4" t="n"/>
      <c r="K29" s="4" t="n"/>
    </row>
    <row r="30" ht="16" customHeight="1" s="29">
      <c r="A30" s="11" t="n"/>
      <c r="B30" s="12" t="n"/>
      <c r="C30" s="12" t="n"/>
      <c r="D30" s="12" t="n"/>
      <c r="E30" s="12" t="n"/>
      <c r="F30" s="12" t="n"/>
      <c r="G30" s="12" t="n"/>
      <c r="H30" s="13" t="n"/>
      <c r="J30" s="5" t="n"/>
      <c r="K30" s="6" t="n"/>
    </row>
    <row r="31">
      <c r="A31" s="14" t="n"/>
      <c r="B31" s="16" t="n"/>
      <c r="C31" s="16" t="n"/>
      <c r="D31" s="16" t="n"/>
      <c r="E31" s="18" t="n"/>
      <c r="F31" s="18" t="n"/>
      <c r="G31" s="16" t="n"/>
      <c r="H31" s="20" t="n"/>
      <c r="J31" s="7" t="n"/>
      <c r="K31" s="8" t="n"/>
    </row>
    <row r="32">
      <c r="A32" s="14" t="n"/>
      <c r="B32" s="16" t="n"/>
      <c r="C32" s="16" t="n"/>
      <c r="D32" s="16" t="n"/>
      <c r="E32" s="18" t="n"/>
      <c r="F32" s="18" t="n"/>
      <c r="G32" s="16" t="n"/>
      <c r="H32" s="20" t="n"/>
      <c r="J32" s="7" t="n"/>
      <c r="K32" s="8" t="n"/>
    </row>
    <row r="33">
      <c r="A33" s="14" t="n"/>
      <c r="B33" s="16" t="n"/>
      <c r="C33" s="16" t="n"/>
      <c r="D33" s="16" t="n"/>
      <c r="E33" s="18" t="n"/>
      <c r="F33" s="18" t="n"/>
      <c r="G33" s="16" t="n"/>
      <c r="H33" s="20" t="n"/>
      <c r="J33" s="7" t="n"/>
      <c r="K33" s="8" t="n"/>
    </row>
    <row r="34">
      <c r="A34" s="14" t="n"/>
      <c r="B34" s="16" t="n"/>
      <c r="C34" s="16" t="n"/>
      <c r="D34" s="16" t="n"/>
      <c r="E34" s="18" t="n"/>
      <c r="F34" s="18" t="n"/>
      <c r="G34" s="16" t="n"/>
      <c r="H34" s="20" t="n"/>
      <c r="J34" s="7" t="n"/>
      <c r="K34" s="8" t="n"/>
    </row>
    <row r="35">
      <c r="A35" s="14" t="n"/>
      <c r="B35" s="16" t="n"/>
      <c r="C35" s="16" t="n"/>
      <c r="D35" s="16" t="n"/>
      <c r="E35" s="18" t="n"/>
      <c r="F35" s="18" t="n"/>
      <c r="G35" s="16" t="n"/>
      <c r="H35" s="20" t="n"/>
      <c r="J35" s="9" t="n"/>
      <c r="K35" s="10" t="n"/>
    </row>
    <row r="36">
      <c r="A36" s="14" t="n"/>
      <c r="B36" s="16" t="n"/>
      <c r="C36" s="16" t="n"/>
      <c r="D36" s="16" t="n"/>
      <c r="E36" s="18" t="n"/>
      <c r="F36" s="18" t="n"/>
      <c r="G36" s="16" t="n"/>
      <c r="H36" s="20" t="n"/>
    </row>
    <row r="37">
      <c r="A37" s="14" t="n"/>
      <c r="B37" s="16" t="n"/>
      <c r="C37" s="16" t="n"/>
      <c r="D37" s="16" t="n"/>
      <c r="E37" s="18" t="n"/>
      <c r="F37" s="18" t="n"/>
      <c r="G37" s="16" t="n"/>
      <c r="H37" s="20" t="n"/>
    </row>
    <row r="38">
      <c r="A38" s="14" t="n"/>
      <c r="B38" s="16" t="n"/>
      <c r="C38" s="16" t="n"/>
      <c r="D38" s="16" t="n"/>
      <c r="E38" s="18" t="n"/>
      <c r="F38" s="18" t="n"/>
      <c r="G38" s="16" t="n"/>
      <c r="H38" s="20" t="n"/>
    </row>
    <row r="39">
      <c r="A39" s="14" t="n"/>
      <c r="B39" s="16" t="n"/>
      <c r="C39" s="16" t="n"/>
      <c r="D39" s="16" t="n"/>
      <c r="E39" s="18" t="n"/>
      <c r="F39" s="18" t="n"/>
      <c r="G39" s="16" t="n"/>
      <c r="H39" s="20" t="n"/>
    </row>
    <row r="40">
      <c r="A40" s="14" t="n"/>
      <c r="B40" s="16" t="n"/>
      <c r="C40" s="16" t="n"/>
      <c r="D40" s="16" t="n"/>
      <c r="E40" s="18" t="n"/>
      <c r="F40" s="18" t="n"/>
      <c r="G40" s="16" t="n"/>
      <c r="H40" s="20" t="n"/>
    </row>
    <row r="41">
      <c r="A41" s="14" t="n"/>
      <c r="B41" s="16" t="n"/>
      <c r="C41" s="16" t="n"/>
      <c r="D41" s="16" t="n"/>
      <c r="E41" s="18" t="n"/>
      <c r="F41" s="18" t="n"/>
      <c r="G41" s="16" t="n"/>
      <c r="H41" s="20" t="n"/>
    </row>
    <row r="42">
      <c r="A42" s="14" t="n"/>
      <c r="B42" s="16" t="n"/>
      <c r="C42" s="16" t="n"/>
      <c r="D42" s="16" t="n"/>
      <c r="E42" s="18" t="n"/>
      <c r="F42" s="18" t="n"/>
      <c r="G42" s="16" t="n"/>
      <c r="H42" s="20" t="n"/>
    </row>
    <row r="43">
      <c r="A43" s="14" t="n"/>
      <c r="B43" s="16" t="n"/>
      <c r="C43" s="16" t="n"/>
      <c r="D43" s="16" t="n"/>
      <c r="E43" s="18" t="n"/>
      <c r="F43" s="18" t="n"/>
      <c r="G43" s="16" t="n"/>
      <c r="H43" s="20" t="n"/>
    </row>
    <row r="44">
      <c r="A44" s="14" t="n"/>
      <c r="B44" s="16" t="n"/>
      <c r="C44" s="16" t="n"/>
      <c r="D44" s="16" t="n"/>
      <c r="E44" s="18" t="n"/>
      <c r="F44" s="18" t="n"/>
      <c r="G44" s="16" t="n"/>
      <c r="H44" s="20" t="n"/>
    </row>
    <row r="45">
      <c r="A45" s="15" t="n"/>
      <c r="B45" s="17" t="n"/>
      <c r="C45" s="17" t="n"/>
      <c r="D45" s="17" t="n"/>
      <c r="E45" s="19" t="n"/>
      <c r="F45" s="19" t="n"/>
      <c r="G45" s="17" t="n"/>
      <c r="H45" s="21" t="n"/>
    </row>
    <row r="52" ht="17" customHeight="1" s="29">
      <c r="A52" s="28" t="n"/>
      <c r="J52" s="4" t="n"/>
      <c r="K52" s="4" t="n"/>
    </row>
    <row r="53" ht="16" customHeight="1" s="29">
      <c r="A53" s="11" t="n"/>
      <c r="B53" s="12" t="n"/>
      <c r="C53" s="12" t="n"/>
      <c r="D53" s="12" t="n"/>
      <c r="E53" s="12" t="n"/>
      <c r="F53" s="12" t="n"/>
      <c r="G53" s="12" t="n"/>
      <c r="H53" s="13" t="n"/>
      <c r="J53" s="5" t="n"/>
      <c r="K53" s="6" t="n"/>
    </row>
    <row r="54">
      <c r="A54" s="14" t="n"/>
      <c r="B54" s="16" t="n"/>
      <c r="C54" s="16" t="n"/>
      <c r="D54" s="16" t="n"/>
      <c r="E54" s="18" t="n"/>
      <c r="F54" s="18" t="n"/>
      <c r="G54" s="16" t="n"/>
      <c r="H54" s="20" t="n"/>
      <c r="J54" s="7" t="n"/>
      <c r="K54" s="8" t="n"/>
    </row>
    <row r="55">
      <c r="A55" s="14" t="n"/>
      <c r="B55" s="16" t="n"/>
      <c r="C55" s="16" t="n"/>
      <c r="D55" s="16" t="n"/>
      <c r="E55" s="18" t="n"/>
      <c r="F55" s="18" t="n"/>
      <c r="G55" s="16" t="n"/>
      <c r="H55" s="20" t="n"/>
      <c r="J55" s="7" t="n"/>
      <c r="K55" s="8" t="n"/>
    </row>
    <row r="56">
      <c r="A56" s="14" t="n"/>
      <c r="B56" s="16" t="n"/>
      <c r="C56" s="16" t="n"/>
      <c r="D56" s="16" t="n"/>
      <c r="E56" s="18" t="n"/>
      <c r="F56" s="18" t="n"/>
      <c r="G56" s="16" t="n"/>
      <c r="H56" s="20" t="n"/>
      <c r="J56" s="7" t="n"/>
      <c r="K56" s="8" t="n"/>
    </row>
    <row r="57">
      <c r="A57" s="14" t="n"/>
      <c r="B57" s="16" t="n"/>
      <c r="C57" s="16" t="n"/>
      <c r="D57" s="16" t="n"/>
      <c r="E57" s="18" t="n"/>
      <c r="F57" s="18" t="n"/>
      <c r="G57" s="16" t="n"/>
      <c r="H57" s="20" t="n"/>
      <c r="J57" s="7" t="n"/>
      <c r="K57" s="8" t="n"/>
    </row>
    <row r="58">
      <c r="A58" s="14" t="n"/>
      <c r="B58" s="16" t="n"/>
      <c r="C58" s="16" t="n"/>
      <c r="D58" s="16" t="n"/>
      <c r="E58" s="18" t="n"/>
      <c r="F58" s="18" t="n"/>
      <c r="G58" s="16" t="n"/>
      <c r="H58" s="20" t="n"/>
      <c r="J58" s="9" t="n"/>
      <c r="K58" s="10" t="n"/>
    </row>
    <row r="59">
      <c r="A59" s="14" t="n"/>
      <c r="B59" s="16" t="n"/>
      <c r="C59" s="16" t="n"/>
      <c r="D59" s="16" t="n"/>
      <c r="E59" s="18" t="n"/>
      <c r="F59" s="18" t="n"/>
      <c r="G59" s="16" t="n"/>
      <c r="H59" s="20" t="n"/>
    </row>
    <row r="60">
      <c r="A60" s="14" t="n"/>
      <c r="B60" s="16" t="n"/>
      <c r="C60" s="16" t="n"/>
      <c r="D60" s="16" t="n"/>
      <c r="E60" s="18" t="n"/>
      <c r="F60" s="18" t="n"/>
      <c r="G60" s="16" t="n"/>
      <c r="H60" s="20" t="n"/>
    </row>
    <row r="61">
      <c r="A61" s="14" t="n"/>
      <c r="B61" s="16" t="n"/>
      <c r="C61" s="16" t="n"/>
      <c r="D61" s="16" t="n"/>
      <c r="E61" s="18" t="n"/>
      <c r="F61" s="18" t="n"/>
      <c r="G61" s="16" t="n"/>
      <c r="H61" s="20" t="n"/>
    </row>
    <row r="62">
      <c r="A62" s="14" t="n"/>
      <c r="B62" s="16" t="n"/>
      <c r="C62" s="16" t="n"/>
      <c r="D62" s="16" t="n"/>
      <c r="E62" s="18" t="n"/>
      <c r="F62" s="18" t="n"/>
      <c r="G62" s="16" t="n"/>
      <c r="H62" s="20" t="n"/>
    </row>
    <row r="63">
      <c r="A63" s="14" t="n"/>
      <c r="B63" s="16" t="n"/>
      <c r="C63" s="16" t="n"/>
      <c r="D63" s="16" t="n"/>
      <c r="E63" s="18" t="n"/>
      <c r="F63" s="18" t="n"/>
      <c r="G63" s="16" t="n"/>
      <c r="H63" s="20" t="n"/>
    </row>
    <row r="64">
      <c r="A64" s="14" t="n"/>
      <c r="B64" s="16" t="n"/>
      <c r="C64" s="16" t="n"/>
      <c r="D64" s="16" t="n"/>
      <c r="E64" s="18" t="n"/>
      <c r="F64" s="18" t="n"/>
      <c r="G64" s="16" t="n"/>
      <c r="H64" s="20" t="n"/>
    </row>
    <row r="65">
      <c r="A65" s="14" t="n"/>
      <c r="B65" s="16" t="n"/>
      <c r="C65" s="16" t="n"/>
      <c r="D65" s="16" t="n"/>
      <c r="E65" s="18" t="n"/>
      <c r="F65" s="18" t="n"/>
      <c r="G65" s="16" t="n"/>
      <c r="H65" s="20" t="n"/>
    </row>
    <row r="66">
      <c r="A66" s="14" t="n"/>
      <c r="B66" s="16" t="n"/>
      <c r="C66" s="16" t="n"/>
      <c r="D66" s="16" t="n"/>
      <c r="E66" s="18" t="n"/>
      <c r="F66" s="18" t="n"/>
      <c r="G66" s="16" t="n"/>
      <c r="H66" s="20" t="n"/>
    </row>
    <row r="67">
      <c r="A67" s="15" t="n"/>
      <c r="B67" s="17" t="n"/>
      <c r="C67" s="17" t="n"/>
      <c r="D67" s="17" t="n"/>
      <c r="E67" s="19" t="n"/>
      <c r="F67" s="19" t="n"/>
      <c r="G67" s="17" t="n"/>
      <c r="H67" s="21" t="n"/>
    </row>
  </sheetData>
  <mergeCells count="6">
    <mergeCell ref="A3:H3"/>
    <mergeCell ref="A5:H5"/>
    <mergeCell ref="A29:H29"/>
    <mergeCell ref="A2:H2"/>
    <mergeCell ref="A52:H52"/>
    <mergeCell ref="A1:H1"/>
  </mergeCells>
  <conditionalFormatting sqref="G7:G22">
    <cfRule type="dataBar" priority="1">
      <dataBar>
        <cfvo type="min"/>
        <cfvo type="max"/>
        <color rgb="FF5B9BD5"/>
      </dataBar>
    </cfRule>
  </conditionalFormatting>
  <conditionalFormatting sqref="G31:G45">
    <cfRule type="dataBar" priority="3">
      <dataBar>
        <cfvo type="min"/>
        <cfvo type="max"/>
        <color rgb="FF5B9BD5"/>
      </dataBar>
    </cfRule>
  </conditionalFormatting>
  <conditionalFormatting sqref="G54:G67">
    <cfRule type="dataBar" priority="5">
      <dataBar>
        <cfvo type="min"/>
        <cfvo type="max"/>
        <color rgb="FF5B9BD5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10" defaultColWidth="8.83203125" defaultRowHeight="15"/>
  <cols>
    <col width="60" customWidth="1" style="29" min="1" max="1"/>
    <col width="18" customWidth="1" style="29" min="2" max="2"/>
    <col width="57" customWidth="1" style="29" min="3" max="3"/>
  </cols>
  <sheetData>
    <row r="1" ht="21" customHeight="1" s="29">
      <c r="A1" s="26" t="inlineStr">
        <is>
          <t>Elite Women's Soccer GPS Benchmarks</t>
        </is>
      </c>
    </row>
    <row r="2">
      <c r="A2" s="23" t="inlineStr">
        <is>
          <t>Reference values for 90-minute matches (approximate ranges from published literature).</t>
        </is>
      </c>
    </row>
    <row r="4">
      <c r="A4" s="24" t="inlineStr">
        <is>
          <t>Metric</t>
        </is>
      </c>
      <c r="B4" s="24" t="inlineStr">
        <is>
          <t>Elite Benchmark</t>
        </is>
      </c>
      <c r="C4" s="24" t="inlineStr">
        <is>
          <t>Notes</t>
        </is>
      </c>
    </row>
    <row r="5">
      <c r="A5" t="inlineStr">
        <is>
          <t>Total Distance</t>
        </is>
      </c>
      <c r="B5" t="inlineStr">
        <is>
          <t>9–11 km</t>
        </is>
      </c>
      <c r="C5" t="inlineStr">
        <is>
          <t>Varies by position and style of play.</t>
        </is>
      </c>
    </row>
    <row r="6">
      <c r="A6" t="inlineStr">
        <is>
          <t>High Speed Running (HSR)</t>
        </is>
      </c>
      <c r="B6" t="inlineStr">
        <is>
          <t>700–1,200 m</t>
        </is>
      </c>
      <c r="C6" t="inlineStr">
        <is>
          <t>Depends on GPS speed thresholds.</t>
        </is>
      </c>
    </row>
    <row r="7">
      <c r="A7" t="inlineStr">
        <is>
          <t>Max Speed</t>
        </is>
      </c>
      <c r="B7" t="inlineStr">
        <is>
          <t>28–32 km/h</t>
        </is>
      </c>
      <c r="C7" t="inlineStr">
        <is>
          <t>Wide players and attackers often record higher values.</t>
        </is>
      </c>
    </row>
    <row r="8">
      <c r="A8" t="inlineStr">
        <is>
          <t>Accelerations</t>
        </is>
      </c>
      <c r="B8" t="inlineStr">
        <is>
          <t>40–70</t>
        </is>
      </c>
      <c r="C8" t="inlineStr">
        <is>
          <t>Depends on tactical style and GPS settings.</t>
        </is>
      </c>
    </row>
    <row r="9">
      <c r="A9" t="inlineStr">
        <is>
          <t>Decelerations</t>
        </is>
      </c>
      <c r="B9" t="inlineStr">
        <is>
          <t>40–70</t>
        </is>
      </c>
      <c r="C9" t="inlineStr">
        <is>
          <t>Closely linked to accelerations and transitions.</t>
        </is>
      </c>
    </row>
    <row r="10">
      <c r="A10" t="inlineStr">
        <is>
          <t>HMLD</t>
        </is>
      </c>
      <c r="B10" t="inlineStr">
        <is>
          <t>800–1,200 m</t>
        </is>
      </c>
      <c r="C10" t="inlineStr">
        <is>
          <t>High metabolic load distance; varies by 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10" defaultColWidth="8.83203125" defaultRowHeight="15"/>
  <cols>
    <col width="20" customWidth="1" style="29" min="1" max="1"/>
    <col width="17" customWidth="1" style="29" min="2" max="2"/>
    <col width="15" customWidth="1" style="29" min="3" max="3"/>
    <col width="42" customWidth="1" style="29" min="4" max="4"/>
  </cols>
  <sheetData>
    <row r="1">
      <c r="A1" s="24" t="inlineStr">
        <is>
          <t>Position</t>
        </is>
      </c>
      <c r="B1" s="24" t="inlineStr">
        <is>
          <t>Total Distance</t>
        </is>
      </c>
      <c r="C1" s="24" t="inlineStr">
        <is>
          <t>HSR</t>
        </is>
      </c>
      <c r="D1" s="24" t="inlineStr">
        <is>
          <t>Primary Focus</t>
        </is>
      </c>
    </row>
    <row r="2">
      <c r="A2" t="inlineStr">
        <is>
          <t>Defender</t>
        </is>
      </c>
      <c r="B2" t="inlineStr">
        <is>
          <t>9.0–10.0 km</t>
        </is>
      </c>
      <c r="C2" t="inlineStr">
        <is>
          <t>600–900 m</t>
        </is>
      </c>
      <c r="D2" t="inlineStr">
        <is>
          <t>Recovery runs, positioning, transitions</t>
        </is>
      </c>
    </row>
    <row r="3">
      <c r="A3" t="inlineStr">
        <is>
          <t>Midfielder</t>
        </is>
      </c>
      <c r="B3" t="inlineStr">
        <is>
          <t>10.0–11.5 km</t>
        </is>
      </c>
      <c r="C3" t="inlineStr">
        <is>
          <t>800–1,200 m</t>
        </is>
      </c>
      <c r="D3" t="inlineStr">
        <is>
          <t>Work rate, support attack &amp; defence</t>
        </is>
      </c>
    </row>
    <row r="4">
      <c r="A4" t="inlineStr">
        <is>
          <t>Attacker (8/9/10)</t>
        </is>
      </c>
      <c r="B4" t="inlineStr">
        <is>
          <t>9.5–10.5 km</t>
        </is>
      </c>
      <c r="C4" t="inlineStr">
        <is>
          <t>900–1,300 m</t>
        </is>
      </c>
      <c r="D4" t="inlineStr">
        <is>
          <t>Explosive runs, pressing, finishing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10" defaultColWidth="8.83203125" defaultRowHeight="15"/>
  <cols>
    <col width="60" customWidth="1" style="29" min="1" max="1"/>
  </cols>
  <sheetData>
    <row r="1">
      <c r="A1" s="25" t="inlineStr">
        <is>
          <t>Why compare by position?</t>
        </is>
      </c>
    </row>
    <row r="2">
      <c r="A2" t="inlineStr">
        <is>
          <t>Players are compared within their own position because each role has different physical and tactical demands. This creates fairer comparisons and helps players understand the expectations of their specific role.</t>
        </is>
      </c>
    </row>
    <row r="4">
      <c r="A4" t="inlineStr">
        <is>
          <t>Suggested dashboard:</t>
        </is>
      </c>
    </row>
    <row r="5">
      <c r="A5" t="inlineStr">
        <is>
          <t>• Team Average</t>
        </is>
      </c>
    </row>
    <row r="6">
      <c r="A6" t="inlineStr">
        <is>
          <t>• WA League Average</t>
        </is>
      </c>
    </row>
    <row r="7">
      <c r="A7" t="inlineStr">
        <is>
          <t>• Elite Benchmark (Literature)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10" defaultColWidth="8.83203125" defaultRowHeight="15"/>
  <cols>
    <col width="60" customWidth="1" style="29" min="1" max="1"/>
  </cols>
  <sheetData>
    <row r="1">
      <c r="A1" s="25" t="inlineStr">
        <is>
          <t>Suggested References</t>
        </is>
      </c>
    </row>
    <row r="2">
      <c r="A2" t="inlineStr">
        <is>
          <t>Datson et al. (2017) Match physical performance in elite female soccer.</t>
        </is>
      </c>
    </row>
    <row r="3">
      <c r="A3" t="inlineStr">
        <is>
          <t>Bradley &amp; Vescovi (2015) High-intensity running in elite women's soccer.</t>
        </is>
      </c>
    </row>
    <row r="4">
      <c r="A4" t="inlineStr">
        <is>
          <t>UEFA Women's Champions League physical performance reports.</t>
        </is>
      </c>
    </row>
    <row r="5">
      <c r="A5" t="inlineStr">
        <is>
          <t>FIFA Women's World Cup physical performance analyses.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2026-06-25T13:28:04Z</dcterms:created>
  <dcterms:modified xmlns:dcterms="http://purl.org/dc/terms/" xmlns:xsi="http://www.w3.org/2001/XMLSchema-instance" xsi:type="dcterms:W3CDTF">2026-06-27T01:01:51Z</dcterms:modified>
  <cp:lastModifiedBy>Thalita ziero</cp:lastModifiedBy>
</cp:coreProperties>
</file>