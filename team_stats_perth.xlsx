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4914d59a8f4b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amStats" sheetId="1" r:id="R963ac615d4714c54"/>
    <x:sheet xmlns:r="http://schemas.openxmlformats.org/officeDocument/2006/relationships" name="DashboardData" sheetId="2" r:id="Raa2d11e99f4344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00" formatCode="yyyy/mm/dd"/>
    <x:numFmt numFmtId="101" formatCode="yyyy/mm/dd hh:mm:ss"/>
    <x:numFmt numFmtId="102" formatCode="0.00"/>
  </x:numFmts>
  <x:fonts count="2"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6284F"/>
      </x:patternFill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0" fillId="0" borderId="1" xfId="0"/>
    <x:xf numFmtId="14" fontId="0" fillId="0" borderId="0" xfId="0" applyNumberFormat="1"/>
    <x:xf numFmtId="102" fontId="0" fillId="0" borderId="0" applyNumberFormat="1" applyFont="0" applyFill="0" applyBorder="0" applyAlignment="0"/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14" fontId="0" fillId="0" borderId="0" xfId="0" applyNumberFormat="1" applyFont="1" applyFill="1" applyBorder="1"/>
    <x:xf numFmtId="102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9058e405b34604" /><Relationship Type="http://schemas.openxmlformats.org/officeDocument/2006/relationships/theme" Target="/xl/theme/theme1.xml" Id="R13fc2de2c5224a3e" /><Relationship Type="http://schemas.openxmlformats.org/officeDocument/2006/relationships/sharedStrings" Target="/xl/sharedStrings.xml" Id="R8af42787ee644c19" /><Relationship Type="http://schemas.openxmlformats.org/officeDocument/2006/relationships/worksheet" Target="/xl/worksheets/sheet1.xml" Id="R963ac615d4714c54" /><Relationship Type="http://schemas.openxmlformats.org/officeDocument/2006/relationships/worksheet" Target="/xl/worksheets/sheet2.xml" Id="Raa2d11e99f4344b6" /></Relationships>
</file>

<file path=xl/tables/table1.xml><?xml version="1.0" encoding="utf-8"?>
<x:table xmlns:x="http://schemas.openxmlformats.org/spreadsheetml/2006/main" id="1" name="DashboardDataTable" displayName="DashboardDataTable" ref="A1:AA21" headerRowCount="1">
  <x:tableColumns count="27">
    <x:tableColumn id="1" name="Round"/>
    <x:tableColumn id="2" name="Date"/>
    <x:tableColumn id="3" name="Match"/>
    <x:tableColumn id="4" name="Competition"/>
    <x:tableColumn id="5" name="Duration"/>
    <x:tableColumn id="6" name="Team"/>
    <x:tableColumn id="7" name="Scheme"/>
    <x:tableColumn id="8" name="Goals"/>
    <x:tableColumn id="9" name="xG"/>
    <x:tableColumn id="10" name="Shots"/>
    <x:tableColumn id="11" name="Shots_on_target"/>
    <x:tableColumn id="12" name="Shots_acc_pct"/>
    <x:tableColumn id="13" name="Passes"/>
    <x:tableColumn id="14" name="Passes_accurate"/>
    <x:tableColumn id="15" name="Passes_acc_pct"/>
    <x:tableColumn id="16" name="Possession_pct"/>
    <x:tableColumn id="17" name="Losses_total"/>
    <x:tableColumn id="18" name="Losses_low"/>
    <x:tableColumn id="19" name="Losses_medium"/>
    <x:tableColumn id="20" name="Losses_high"/>
    <x:tableColumn id="21" name="Recoveries_total"/>
    <x:tableColumn id="22" name="Recoveries_low"/>
    <x:tableColumn id="23" name="Recoveries_medium"/>
    <x:tableColumn id="24" name="Recoveries_high"/>
    <x:tableColumn id="25" name="Duels_total"/>
    <x:tableColumn id="26" name="Duels_won"/>
    <x:tableColumn id="27" name="Duels_won_pc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5bb0248dca4c94" /></Relationships>
</file>

<file path=xl/worksheets/sheet1.xml><?xml version="1.0" encoding="utf-8"?>
<x:worksheet xmlns:x="http://schemas.openxmlformats.org/spreadsheetml/2006/main">
  <x:sheetViews>
    <x:sheetView showGridLines="1" workbookViewId="0"/>
  </x:sheetViews>
  <x:sheetFormatPr baseColWidth="8" defaultRowHeight="18"/>
  <x:cols>
    <x:col min="1" max="1" width="11.889887809753418" customWidth="1"/>
    <x:col min="2" max="2" width="22.8898868560791" customWidth="1"/>
    <x:col min="3" max="3" width="23.989887237548828" customWidth="1"/>
    <x:col min="4" max="4" width="7.489887714385986" customWidth="1"/>
    <x:col min="5" max="5" width="12.989887237548828" customWidth="1"/>
    <x:col min="6" max="6" width="14.089887619018555" customWidth="1"/>
    <x:col min="7" max="7" width="5.289887428283691" customWidth="1"/>
    <x:col min="8" max="8" width="6.389887809753418" customWidth="1"/>
    <x:col min="9" max="9" width="15.189888000488281" customWidth="1"/>
    <x:col min="10" max="10" width="6.389887809753418" customWidth="1"/>
    <x:col min="11" max="11" width="7.489887714385986" customWidth="1"/>
    <x:col min="12" max="12" width="10.789887428283691" customWidth="1"/>
    <x:col min="13" max="13" width="7.489887714385986" customWidth="1"/>
    <x:col min="14" max="14" width="7.489887714385986" customWidth="1"/>
    <x:col min="15" max="15" width="11.889887809753418" customWidth="1"/>
    <x:col min="16" max="16" width="26.18988800048828" customWidth="1"/>
    <x:col min="17" max="17" width="6.389887809753418" customWidth="1"/>
    <x:col min="18" max="18" width="6.389887809753418" customWidth="1"/>
    <x:col min="19" max="19" width="7.489887714385986" customWidth="1"/>
    <x:col min="20" max="20" width="30.589887619018555" customWidth="1"/>
    <x:col min="21" max="21" width="6.389887809753418" customWidth="1"/>
    <x:col min="22" max="22" width="6.389887809753418" customWidth="1"/>
    <x:col min="23" max="23" width="6.389887809753418" customWidth="1"/>
    <x:col min="24" max="24" width="12.989887237548828" customWidth="1"/>
    <x:col min="25" max="25" width="7.489887714385986" customWidth="1"/>
    <x:col min="26" max="26" width="7.489887714385986" customWidth="1"/>
    <x:col min="27" max="27" width="31.68988800048828" customWidth="1"/>
    <x:col min="28" max="28" width="5.289887428283691" customWidth="1"/>
    <x:col min="29" max="29" width="7.489887714385986" customWidth="1"/>
    <x:col min="30" max="30" width="17.3898868560791" customWidth="1"/>
    <x:col min="31" max="31" width="5.289887428283691" customWidth="1"/>
    <x:col min="32" max="32" width="7.489887714385986" customWidth="1"/>
    <x:col min="33" max="33" width="18.489887237548828" customWidth="1"/>
    <x:col min="34" max="34" width="4.189887523651123" customWidth="1"/>
    <x:col min="35" max="35" width="7.489887714385986" customWidth="1"/>
    <x:col min="36" max="36" width="16.289888381958008" customWidth="1"/>
    <x:col min="37" max="37" width="5.289887428283691" customWidth="1"/>
    <x:col min="38" max="38" width="7.489887714385986" customWidth="1"/>
    <x:col min="39" max="39" width="11.889887809753418" customWidth="1"/>
    <x:col min="40" max="40" width="5.289887428283691" customWidth="1"/>
    <x:col min="41" max="41" width="7.489887714385986" customWidth="1"/>
    <x:col min="42" max="42" width="18.489887237548828" customWidth="1"/>
    <x:col min="43" max="43" width="18.489887237548828" customWidth="1"/>
    <x:col min="44" max="44" width="18.489887237548828" customWidth="1"/>
    <x:col min="45" max="45" width="19.589887619018555" customWidth="1"/>
    <x:col min="46" max="46" width="6.389887809753418" customWidth="1"/>
    <x:col min="47" max="47" width="7.489887714385986" customWidth="1"/>
    <x:col min="48" max="48" width="14.089887619018555" customWidth="1"/>
    <x:col min="49" max="49" width="18.489887237548828" customWidth="1"/>
    <x:col min="50" max="50" width="6.389887809753418" customWidth="1"/>
    <x:col min="51" max="51" width="7.489887714385986" customWidth="1"/>
    <x:col min="52" max="52" width="20.68988800048828" customWidth="1"/>
    <x:col min="53" max="53" width="7.489887714385986" customWidth="1"/>
    <x:col min="54" max="54" width="7.489887714385986" customWidth="1"/>
    <x:col min="55" max="55" width="16.289888381958008" customWidth="1"/>
    <x:col min="56" max="56" width="6.389887809753418" customWidth="1"/>
    <x:col min="57" max="57" width="7.489887714385986" customWidth="1"/>
    <x:col min="58" max="58" width="16.289888381958008" customWidth="1"/>
    <x:col min="59" max="59" width="5.289887428283691" customWidth="1"/>
    <x:col min="60" max="60" width="7.489887714385986" customWidth="1"/>
    <x:col min="61" max="61" width="9.689888000488281" customWidth="1"/>
    <x:col min="62" max="62" width="7.489887714385986" customWidth="1"/>
    <x:col min="63" max="63" width="6.389887809753418" customWidth="1"/>
    <x:col min="64" max="64" width="9.689888000488281" customWidth="1"/>
    <x:col min="65" max="65" width="8.589887619018555" customWidth="1"/>
    <x:col min="66" max="66" width="15.189888000488281" customWidth="1"/>
    <x:col min="67" max="67" width="7.489887714385986" customWidth="1"/>
    <x:col min="68" max="68" width="7.489887714385986" customWidth="1"/>
    <x:col min="69" max="69" width="15.189888000488281" customWidth="1"/>
    <x:col min="70" max="70" width="6.389887809753418" customWidth="1"/>
    <x:col min="71" max="71" width="7.489887714385986" customWidth="1"/>
    <x:col min="72" max="72" width="18.489887237548828" customWidth="1"/>
    <x:col min="73" max="73" width="6.389887809753418" customWidth="1"/>
    <x:col min="74" max="74" width="7.489887714385986" customWidth="1"/>
    <x:col min="75" max="75" width="18.489887237548828" customWidth="1"/>
    <x:col min="76" max="76" width="7.489887714385986" customWidth="1"/>
    <x:col min="77" max="77" width="7.489887714385986" customWidth="1"/>
    <x:col min="78" max="78" width="15.189888000488281" customWidth="1"/>
    <x:col min="79" max="79" width="6.389887809753418" customWidth="1"/>
    <x:col min="80" max="80" width="7.489887714385986" customWidth="1"/>
    <x:col min="81" max="81" width="7.489887714385986" customWidth="1"/>
  </x:cols>
  <x:sheetData>
    <x:row r="1" ht="56" customHeight="1">
      <x:c r="A1" t="inlineStr">
        <x:is>
          <x:t xml:space="preserve">Date</x:t>
        </x:is>
      </x:c>
      <x:c r="B1" t="inlineStr">
        <x:is>
          <x:t xml:space="preserve">Match</x:t>
        </x:is>
      </x:c>
      <x:c r="C1" t="inlineStr">
        <x:is>
          <x:t xml:space="preserve">Competition</x:t>
        </x:is>
      </x:c>
      <x:c r="D1" t="inlineStr">
        <x:is>
          <x:t xml:space="preserve">Duration</x:t>
        </x:is>
      </x:c>
      <x:c r="E1" t="inlineStr">
        <x:is>
          <x:t xml:space="preserve">Team</x:t>
        </x:is>
      </x:c>
      <x:c r="F1" t="inlineStr">
        <x:is>
          <x:t xml:space="preserve">Scheme</x:t>
        </x:is>
      </x:c>
      <x:c r="G1" t="inlineStr">
        <x:is>
          <x:t xml:space="preserve">Goals</x:t>
        </x:is>
      </x:c>
      <x:c r="H1" t="inlineStr">
        <x:is>
          <x:t xml:space="preserve">xG</x:t>
        </x:is>
      </x:c>
      <x:c r="I1" t="inlineStr">
        <x:is>
          <x:t xml:space="preserve">Shots / on target</x:t>
        </x:is>
      </x:c>
      <x:c r="J1" t="inlineStr">
        <x:is>
          <x:t xml:space="preserve"/>
        </x:is>
      </x:c>
      <x:c r="K1" t="inlineStr">
        <x:is>
          <x:t xml:space="preserve"/>
        </x:is>
      </x:c>
      <x:c r="L1" t="inlineStr">
        <x:is>
          <x:t xml:space="preserve">Passes / accurate</x:t>
        </x:is>
      </x:c>
      <x:c r="M1" t="inlineStr">
        <x:is>
          <x:t xml:space="preserve"/>
        </x:is>
      </x:c>
      <x:c r="N1" t="inlineStr">
        <x:is>
          <x:t xml:space="preserve"/>
        </x:is>
      </x:c>
      <x:c r="O1" t="inlineStr">
        <x:is>
          <x:t xml:space="preserve">Possession, %</x:t>
        </x:is>
      </x:c>
      <x:c r="P1" t="inlineStr">
        <x:is>
          <x:t xml:space="preserve">Losses / Low / Medium / High</x:t>
        </x:is>
      </x:c>
      <x:c r="Q1" t="inlineStr">
        <x:is>
          <x:t xml:space="preserve"/>
        </x:is>
      </x:c>
      <x:c r="R1" t="inlineStr">
        <x:is>
          <x:t xml:space="preserve"/>
        </x:is>
      </x:c>
      <x:c r="S1" t="inlineStr">
        <x:is>
          <x:t xml:space="preserve"/>
        </x:is>
      </x:c>
      <x:c r="T1" t="inlineStr">
        <x:is>
          <x:t xml:space="preserve">Recoveries / Low / Medium / High</x:t>
        </x:is>
      </x:c>
      <x:c r="U1" t="inlineStr">
        <x:is>
          <x:t xml:space="preserve"/>
        </x:is>
      </x:c>
      <x:c r="V1" t="inlineStr">
        <x:is>
          <x:t xml:space="preserve"/>
        </x:is>
      </x:c>
      <x:c r="W1" t="inlineStr">
        <x:is>
          <x:t xml:space="preserve"/>
        </x:is>
      </x:c>
      <x:c r="X1" t="inlineStr">
        <x:is>
          <x:t xml:space="preserve">Duels / won</x:t>
        </x:is>
      </x:c>
      <x:c r="Y1" t="inlineStr">
        <x:is>
          <x:t xml:space="preserve"/>
        </x:is>
      </x:c>
      <x:c r="Z1" t="inlineStr">
        <x:is>
          <x:t xml:space="preserve"/>
        </x:is>
      </x:c>
      <x:c r="AA1" t="inlineStr">
        <x:is>
          <x:t xml:space="preserve">Shots from outside penalty area / on target</x:t>
        </x:is>
      </x:c>
      <x:c r="AB1" t="inlineStr">
        <x:is>
          <x:t xml:space="preserve"/>
        </x:is>
      </x:c>
      <x:c r="AC1" t="inlineStr">
        <x:is>
          <x:t xml:space="preserve"/>
        </x:is>
      </x:c>
      <x:c r="AD1" t="inlineStr">
        <x:is>
          <x:t xml:space="preserve">Positional attacks / with shots</x:t>
        </x:is>
      </x:c>
      <x:c r="AE1" t="inlineStr">
        <x:is>
          <x:t xml:space="preserve"/>
        </x:is>
      </x:c>
      <x:c r="AF1" t="inlineStr">
        <x:is>
          <x:t xml:space="preserve"/>
        </x:is>
      </x:c>
      <x:c r="AG1" t="inlineStr">
        <x:is>
          <x:t xml:space="preserve">Set pieces / with shots</x:t>
        </x:is>
      </x:c>
      <x:c r="AH1" t="inlineStr">
        <x:is>
          <x:t xml:space="preserve"/>
        </x:is>
      </x:c>
      <x:c r="AI1" t="inlineStr">
        <x:is>
          <x:t xml:space="preserve"/>
        </x:is>
      </x:c>
      <x:c r="AJ1" t="inlineStr">
        <x:is>
          <x:t xml:space="preserve">Corners / with shots</x:t>
        </x:is>
      </x:c>
      <x:c r="AK1" t="inlineStr">
        <x:is>
          <x:t xml:space="preserve"/>
        </x:is>
      </x:c>
      <x:c r="AL1" t="inlineStr">
        <x:is>
          <x:t xml:space="preserve"/>
        </x:is>
      </x:c>
      <x:c r="AM1" t="inlineStr">
        <x:is>
          <x:t xml:space="preserve">Crosses / accurate</x:t>
        </x:is>
      </x:c>
      <x:c r="AN1" t="inlineStr">
        <x:is>
          <x:t xml:space="preserve"/>
        </x:is>
      </x:c>
      <x:c r="AO1" t="inlineStr">
        <x:is>
          <x:t xml:space="preserve"/>
        </x:is>
      </x:c>
      <x:c r="AP1" t="inlineStr">
        <x:is>
          <x:t xml:space="preserve">Deep completed crosses</x:t>
        </x:is>
      </x:c>
      <x:c r="AQ1" t="inlineStr">
        <x:is>
          <x:t xml:space="preserve">Deep completed passes</x:t>
        </x:is>
      </x:c>
      <x:c r="AR1" t="inlineStr">
        <x:is>
          <x:t xml:space="preserve">Touches in penalty area</x:t>
        </x:is>
      </x:c>
      <x:c r="AS1" t="inlineStr">
        <x:is>
          <x:t xml:space="preserve">Offensive duels / won</x:t>
        </x:is>
      </x:c>
      <x:c r="AT1" t="inlineStr">
        <x:is>
          <x:t xml:space="preserve"/>
        </x:is>
      </x:c>
      <x:c r="AU1" t="inlineStr">
        <x:is>
          <x:t xml:space="preserve"/>
        </x:is>
      </x:c>
      <x:c r="AV1" t="inlineStr">
        <x:is>
          <x:t xml:space="preserve">Conceded goals</x:t>
        </x:is>
      </x:c>
      <x:c r="AW1" t="inlineStr">
        <x:is>
          <x:t xml:space="preserve">Shots against / on target</x:t>
        </x:is>
      </x:c>
      <x:c r="AX1" t="inlineStr">
        <x:is>
          <x:t xml:space="preserve"/>
        </x:is>
      </x:c>
      <x:c r="AY1" t="inlineStr">
        <x:is>
          <x:t xml:space="preserve"/>
        </x:is>
      </x:c>
      <x:c r="AZ1" t="inlineStr">
        <x:is>
          <x:t xml:space="preserve">Defensive duels / won</x:t>
        </x:is>
      </x:c>
      <x:c r="BA1" t="inlineStr">
        <x:is>
          <x:t xml:space="preserve"/>
        </x:is>
      </x:c>
      <x:c r="BB1" t="inlineStr">
        <x:is>
          <x:t xml:space="preserve"/>
        </x:is>
      </x:c>
      <x:c r="BC1" t="inlineStr">
        <x:is>
          <x:t xml:space="preserve">Aerial duels / won</x:t>
        </x:is>
      </x:c>
      <x:c r="BD1" t="inlineStr">
        <x:is>
          <x:t xml:space="preserve"/>
        </x:is>
      </x:c>
      <x:c r="BE1" t="inlineStr">
        <x:is>
          <x:t xml:space="preserve"/>
        </x:is>
      </x:c>
      <x:c r="BF1" t="inlineStr">
        <x:is>
          <x:t xml:space="preserve">Sliding tackles / successful</x:t>
        </x:is>
      </x:c>
      <x:c r="BG1" t="inlineStr">
        <x:is>
          <x:t xml:space="preserve"/>
        </x:is>
      </x:c>
      <x:c r="BH1" t="inlineStr">
        <x:is>
          <x:t xml:space="preserve"/>
        </x:is>
      </x:c>
      <x:c r="BI1" t="inlineStr">
        <x:is>
          <x:t xml:space="preserve">Interceptions</x:t>
        </x:is>
      </x:c>
      <x:c r="BJ1" t="inlineStr">
        <x:is>
          <x:t xml:space="preserve">Clearances</x:t>
        </x:is>
      </x:c>
      <x:c r="BK1" t="inlineStr">
        <x:is>
          <x:t xml:space="preserve">Fouls</x:t>
        </x:is>
      </x:c>
      <x:c r="BL1" t="inlineStr">
        <x:is>
          <x:t xml:space="preserve">Yellow cards</x:t>
        </x:is>
      </x:c>
      <x:c r="BM1" t="inlineStr">
        <x:is>
          <x:t xml:space="preserve">Red cards</x:t>
        </x:is>
      </x:c>
      <x:c r="BN1" t="inlineStr">
        <x:is>
          <x:t xml:space="preserve">Forward passes / accurate</x:t>
        </x:is>
      </x:c>
      <x:c r="BO1" t="inlineStr">
        <x:is>
          <x:t xml:space="preserve"/>
        </x:is>
      </x:c>
      <x:c r="BP1" t="inlineStr">
        <x:is>
          <x:t xml:space="preserve"/>
        </x:is>
      </x:c>
      <x:c r="BQ1" t="inlineStr">
        <x:is>
          <x:t xml:space="preserve">Long passes / accurate</x:t>
        </x:is>
      </x:c>
      <x:c r="BR1" t="inlineStr">
        <x:is>
          <x:t xml:space="preserve"/>
        </x:is>
      </x:c>
      <x:c r="BS1" t="inlineStr">
        <x:is>
          <x:t xml:space="preserve"/>
        </x:is>
      </x:c>
      <x:c r="BT1" t="inlineStr">
        <x:is>
          <x:t xml:space="preserve">Passes to final third / accurate</x:t>
        </x:is>
      </x:c>
      <x:c r="BU1" t="inlineStr">
        <x:is>
          <x:t xml:space="preserve"/>
        </x:is>
      </x:c>
      <x:c r="BV1" t="inlineStr">
        <x:is>
          <x:t xml:space="preserve"/>
        </x:is>
      </x:c>
      <x:c r="BW1" t="inlineStr">
        <x:is>
          <x:t xml:space="preserve">Progressive passes / accurate</x:t>
        </x:is>
      </x:c>
      <x:c r="BX1" t="inlineStr">
        <x:is>
          <x:t xml:space="preserve"/>
        </x:is>
      </x:c>
      <x:c r="BY1" t="inlineStr">
        <x:is>
          <x:t xml:space="preserve"/>
        </x:is>
      </x:c>
      <x:c r="BZ1" t="inlineStr">
        <x:is>
          <x:t xml:space="preserve">Throw ins / accurate</x:t>
        </x:is>
      </x:c>
      <x:c r="CA1" t="inlineStr">
        <x:is>
          <x:t xml:space="preserve"/>
        </x:is>
      </x:c>
      <x:c r="CB1" t="inlineStr">
        <x:is>
          <x:t xml:space="preserve"/>
        </x:is>
      </x:c>
      <x:c r="CC1" t="inlineStr">
        <x:is>
          <x:t xml:space="preserve">PPDA</x:t>
        </x:is>
      </x:c>
    </x:row>
    <x:row r="2">
      <x:c r="A2" s="3" t="inlineStr">
        <x:is>
          <x:t xml:space="preserve">Perth</x:t>
        </x:is>
      </x:c>
      <x:c r="B2" s="3"/>
      <x:c r="C2" s="3"/>
      <x:c r="D2" s="3"/>
      <x:c r="E2" s="3"/>
      <x:c r="F2" s="3"/>
      <x:c r="G2" s="3" t="n">
        <x:f>AVERAGE(G4,G6,G8,G10,G12,G14,G16,G18,G20,G22)</x:f>
        <x:v>2.3</x:v>
      </x:c>
      <x:c r="H2" s="3" t="n">
        <x:f>AVERAGE(H4,H6,H8,H10,H12,H14,H16,H18,H20,H22)</x:f>
        <x:v>1.7799999999999998</x:v>
      </x:c>
      <x:c r="I2" s="3" t="n">
        <x:f>AVERAGE(I4,I6,I8,I10,I12,I14,I16,I18,I20,I22)</x:f>
        <x:v>17.8</x:v>
      </x:c>
      <x:c r="J2" s="3" t="n">
        <x:f>AVERAGE(J4,J6,J8,J10,J12,J14,J16,J18,J20,J22)</x:f>
        <x:v>7.3</x:v>
      </x:c>
      <x:c r="K2" s="3" t="n">
        <x:f>IFERROR(SUM(J4,J6,J8,J10,J12,J14,J16,J18,J20,J22)/SUM(I4,I6,I8,I10,I12,I14,I16,I18,I20,I22)*100,0)</x:f>
        <x:v>41.01123595505618</x:v>
      </x:c>
      <x:c r="L2" s="3" t="n">
        <x:f>AVERAGE(L4,L6,L8,L10,L12,L14,L16,L18,L20,L22)</x:f>
        <x:v>460.5</x:v>
      </x:c>
      <x:c r="M2" s="3" t="n">
        <x:f>AVERAGE(M4,M6,M8,M10,M12,M14,M16,M18,M20,M22)</x:f>
        <x:v>350.3</x:v>
      </x:c>
      <x:c r="N2" s="3" t="n">
        <x:f>IFERROR(SUM(M4,M6,M8,M10,M12,M14,M16,M18,M20,M22)/SUM(L4,L6,L8,L10,L12,L14,L16,L18,L20,L22)*100,0)</x:f>
        <x:v>76.06948968512486</x:v>
      </x:c>
      <x:c r="O2" s="3" t="n">
        <x:f>AVERAGE(O4,O6,O8,O10,O12,O14,O16,O18,O20,O22)</x:f>
        <x:v>54.56</x:v>
      </x:c>
      <x:c r="P2" s="3" t="n">
        <x:f>AVERAGE(P4,P6,P8,P10,P12,P14,P16,P18,P20,P22)</x:f>
        <x:v>136.5</x:v>
      </x:c>
      <x:c r="Q2" s="3" t="n">
        <x:f>AVERAGE(Q4,Q6,Q8,Q10,Q12,Q14,Q16,Q18,Q20,Q22)</x:f>
        <x:v>16.2</x:v>
      </x:c>
      <x:c r="R2" s="3" t="n">
        <x:f>AVERAGE(R4,R6,R8,R10,R12,R14,R16,R18,R20,R22)</x:f>
        <x:v>45.1</x:v>
      </x:c>
      <x:c r="S2" s="3" t="n">
        <x:f>AVERAGE(S4,S6,S8,S10,S12,S14,S16,S18,S20,S22)</x:f>
        <x:v>75.2</x:v>
      </x:c>
      <x:c r="T2" s="3" t="n">
        <x:f>AVERAGE(T4,T6,T8,T10,T12,T14,T16,T18,T20,T22)</x:f>
        <x:v>104.2</x:v>
      </x:c>
      <x:c r="U2" s="3" t="n">
        <x:f>AVERAGE(U4,U6,U8,U10,U12,U14,U16,U18,U20,U22)</x:f>
        <x:v>35.3</x:v>
      </x:c>
      <x:c r="V2" s="3" t="n">
        <x:f>AVERAGE(V4,V6,V8,V10,V12,V14,V16,V18,V20,V22)</x:f>
        <x:v>45.8</x:v>
      </x:c>
      <x:c r="W2" s="3" t="n">
        <x:f>AVERAGE(W4,W6,W8,W10,W12,W14,W16,W18,W20,W22)</x:f>
        <x:v>23.1</x:v>
      </x:c>
      <x:c r="X2" s="3" t="n">
        <x:f>AVERAGE(X4,X6,X8,X10,X12,X14,X16,X18,X20,X22)</x:f>
        <x:v>200</x:v>
      </x:c>
      <x:c r="Y2" s="3" t="n">
        <x:f>AVERAGE(Y4,Y6,Y8,Y10,Y12,Y14,Y16,Y18,Y20,Y22)</x:f>
        <x:v>104.6</x:v>
      </x:c>
      <x:c r="Z2" s="3" t="n">
        <x:f>IFERROR(SUM(Y4,Y6,Y8,Y10,Y12,Y14,Y16,Y18,Y20,Y22)/SUM(X4,X6,X8,X10,X12,X14,X16,X18,X20,X22)*100,0)</x:f>
        <x:v>52.300000000000004</x:v>
      </x:c>
      <x:c r="AA2" s="3" t="n">
        <x:f>AVERAGE(AA4,AA6,AA8,AA10,AA12,AA14,AA16,AA18,AA20,AA22)</x:f>
        <x:v>8.5</x:v>
      </x:c>
      <x:c r="AB2" s="3" t="n">
        <x:f>AVERAGE(AB4,AB6,AB8,AB10,AB12,AB14,AB16,AB18,AB20,AB22)</x:f>
        <x:v>3.4</x:v>
      </x:c>
      <x:c r="AC2" s="3" t="n">
        <x:f>IFERROR(SUM(AB4,AB6,AB8,AB10,AB12,AB14,AB16,AB18,AB20,AB22)/SUM(AA4,AA6,AA8,AA10,AA12,AA14,AA16,AA18,AA20,AA22)*100,0)</x:f>
        <x:v>40</x:v>
      </x:c>
      <x:c r="AD2" s="3" t="n">
        <x:f>AVERAGE(AD4,AD6,AD8,AD10,AD12,AD14,AD16,AD18,AD20,AD22)</x:f>
        <x:v>47.1</x:v>
      </x:c>
      <x:c r="AE2" s="3" t="n">
        <x:f>AVERAGE(AE4,AE6,AE8,AE10,AE12,AE14,AE16,AE18,AE20,AE22)</x:f>
        <x:v>14.2</x:v>
      </x:c>
      <x:c r="AF2" s="3" t="n">
        <x:f>IFERROR(SUM(AE4,AE6,AE8,AE10,AE12,AE14,AE16,AE18,AE20,AE22)/SUM(AD4,AD6,AD8,AD10,AD12,AD14,AD16,AD18,AD20,AD22)*100,0)</x:f>
        <x:v>30.148619957537154</x:v>
      </x:c>
      <x:c r="AG2" s="3" t="n">
        <x:f>AVERAGE(AG4,AG6,AG8,AG10,AG12,AG14,AG16,AG18,AG20,AG22)</x:f>
        <x:v>17.1</x:v>
      </x:c>
      <x:c r="AH2" s="3" t="n">
        <x:f>AVERAGE(AH4,AH6,AH8,AH10,AH12,AH14,AH16,AH18,AH20,AH22)</x:f>
        <x:v>2.9</x:v>
      </x:c>
      <x:c r="AI2" s="3" t="n">
        <x:f>IFERROR(SUM(AH4,AH6,AH8,AH10,AH12,AH14,AH16,AH18,AH20,AH22)/SUM(AG4,AG6,AG8,AG10,AG12,AG14,AG16,AG18,AG20,AG22)*100,0)</x:f>
        <x:v>16.95906432748538</x:v>
      </x:c>
      <x:c r="AJ2" s="3" t="n">
        <x:f>AVERAGE(AJ4,AJ6,AJ8,AJ10,AJ12,AJ14,AJ16,AJ18,AJ20,AJ22)</x:f>
        <x:v>6.2</x:v>
      </x:c>
      <x:c r="AK2" s="3" t="n">
        <x:f>AVERAGE(AK4,AK6,AK8,AK10,AK12,AK14,AK16,AK18,AK20,AK22)</x:f>
        <x:v>1.8</x:v>
      </x:c>
      <x:c r="AL2" s="3" t="n">
        <x:f>IFERROR(SUM(AK4,AK6,AK8,AK10,AK12,AK14,AK16,AK18,AK20,AK22)/SUM(AJ4,AJ6,AJ8,AJ10,AJ12,AJ14,AJ16,AJ18,AJ20,AJ22)*100,0)</x:f>
        <x:v>29.03225806451613</x:v>
      </x:c>
      <x:c r="AM2" s="3" t="n">
        <x:f>AVERAGE(AM4,AM6,AM8,AM10,AM12,AM14,AM16,AM18,AM20,AM22)</x:f>
        <x:v>18.8</x:v>
      </x:c>
      <x:c r="AN2" s="3" t="n">
        <x:f>AVERAGE(AN4,AN6,AN8,AN10,AN12,AN14,AN16,AN18,AN20,AN22)</x:f>
        <x:v>5</x:v>
      </x:c>
      <x:c r="AO2" s="3" t="n">
        <x:f>IFERROR(SUM(AN4,AN6,AN8,AN10,AN12,AN14,AN16,AN18,AN20,AN22)/SUM(AM4,AM6,AM8,AM10,AM12,AM14,AM16,AM18,AM20,AM22)*100,0)</x:f>
        <x:v>26.595744680851062</x:v>
      </x:c>
      <x:c r="AP2" s="3" t="n">
        <x:f>AVERAGE(AP4,AP6,AP8,AP10,AP12,AP14,AP16,AP18,AP20,AP22)</x:f>
        <x:v>5.6</x:v>
      </x:c>
      <x:c r="AQ2" s="3" t="n">
        <x:f>AVERAGE(AQ4,AQ6,AQ8,AQ10,AQ12,AQ14,AQ16,AQ18,AQ20,AQ22)</x:f>
        <x:v>8.6</x:v>
      </x:c>
      <x:c r="AR2" s="3" t="n">
        <x:f>AVERAGE(AR4,AR6,AR8,AR10,AR12,AR14,AR16,AR18,AR20,AR22)</x:f>
        <x:v>23.2</x:v>
      </x:c>
      <x:c r="AS2" s="3" t="n">
        <x:f>AVERAGE(AS4,AS6,AS8,AS10,AS12,AS14,AS16,AS18,AS20,AS22)</x:f>
        <x:v>75.2</x:v>
      </x:c>
      <x:c r="AT2" s="3" t="n">
        <x:f>AVERAGE(AT4,AT6,AT8,AT10,AT12,AT14,AT16,AT18,AT20,AT22)</x:f>
        <x:v>24.8</x:v>
      </x:c>
      <x:c r="AU2" s="3" t="n">
        <x:f>IFERROR(SUM(AT4,AT6,AT8,AT10,AT12,AT14,AT16,AT18,AT20,AT22)/SUM(AS4,AS6,AS8,AS10,AS12,AS14,AS16,AS18,AS20,AS22)*100,0)</x:f>
        <x:v>32.97872340425532</x:v>
      </x:c>
      <x:c r="AV2" s="3" t="n">
        <x:f>AVERAGE(AV4,AV6,AV8,AV10,AV12,AV14,AV16,AV18,AV20,AV22)</x:f>
        <x:v>0.2</x:v>
      </x:c>
      <x:c r="AW2" s="3" t="n">
        <x:f>AVERAGE(AW4,AW6,AW8,AW10,AW12,AW14,AW16,AW18,AW20,AW22)</x:f>
        <x:v>6.7</x:v>
      </x:c>
      <x:c r="AX2" s="3" t="n">
        <x:f>AVERAGE(AX4,AX6,AX8,AX10,AX12,AX14,AX16,AX18,AX20,AX22)</x:f>
        <x:v>2.3</x:v>
      </x:c>
      <x:c r="AY2" s="3" t="n">
        <x:f>IFERROR(SUM(AX4,AX6,AX8,AX10,AX12,AX14,AX16,AX18,AX20,AX22)/SUM(AW4,AW6,AW8,AW10,AW12,AW14,AW16,AW18,AW20,AW22)*100,0)</x:f>
        <x:v>34.32835820895522</x:v>
      </x:c>
      <x:c r="AZ2" s="3" t="n">
        <x:f>AVERAGE(AZ4,AZ6,AZ8,AZ10,AZ12,AZ14,AZ16,AZ18,AZ20,AZ22)</x:f>
        <x:v>84.6</x:v>
      </x:c>
      <x:c r="BA2" s="3" t="n">
        <x:f>AVERAGE(BA4,BA6,BA8,BA10,BA12,BA14,BA16,BA18,BA20,BA22)</x:f>
        <x:v>62</x:v>
      </x:c>
      <x:c r="BB2" s="3" t="n">
        <x:f>IFERROR(SUM(BA4,BA6,BA8,BA10,BA12,BA14,BA16,BA18,BA20,BA22)/SUM(AZ4,AZ6,AZ8,AZ10,AZ12,AZ14,AZ16,AZ18,AZ20,AZ22)*100,0)</x:f>
        <x:v>73.28605200945626</x:v>
      </x:c>
      <x:c r="BC2" s="3" t="n">
        <x:f>AVERAGE(BC4,BC6,BC8,BC10,BC12,BC14,BC16,BC18,BC20,BC22)</x:f>
        <x:v>16</x:v>
      </x:c>
      <x:c r="BD2" s="3" t="n">
        <x:f>AVERAGE(BD4,BD6,BD8,BD10,BD12,BD14,BD16,BD18,BD20,BD22)</x:f>
        <x:v>7.1</x:v>
      </x:c>
      <x:c r="BE2" s="3" t="n">
        <x:f>IFERROR(SUM(BD4,BD6,BD8,BD10,BD12,BD14,BD16,BD18,BD20,BD22)/SUM(BC4,BC6,BC8,BC10,BC12,BC14,BC16,BC18,BC20,BC22)*100,0)</x:f>
        <x:v>44.375</x:v>
      </x:c>
      <x:c r="BF2" s="3" t="n">
        <x:f>AVERAGE(BF4,BF6,BF8,BF10,BF12,BF14,BF16,BF18,BF20,BF22)</x:f>
        <x:v>1.6</x:v>
      </x:c>
      <x:c r="BG2" s="3" t="n">
        <x:f>AVERAGE(BG4,BG6,BG8,BG10,BG12,BG14,BG16,BG18,BG20,BG22)</x:f>
        <x:v>0.8</x:v>
      </x:c>
      <x:c r="BH2" s="3" t="n">
        <x:f>IFERROR(SUM(BG4,BG6,BG8,BG10,BG12,BG14,BG16,BG18,BG20,BG22)/SUM(BF4,BF6,BF8,BF10,BF12,BF14,BF16,BF18,BF20,BF22)*100,0)</x:f>
        <x:v>50</x:v>
      </x:c>
      <x:c r="BI2" s="3" t="n">
        <x:f>AVERAGE(BI4,BI6,BI8,BI10,BI12,BI14,BI16,BI18,BI20,BI22)</x:f>
        <x:v>49.6</x:v>
      </x:c>
      <x:c r="BJ2" s="3" t="n">
        <x:f>AVERAGE(BJ4,BJ6,BJ8,BJ10,BJ12,BJ14,BJ16,BJ18,BJ20,BJ22)</x:f>
        <x:v>15.1</x:v>
      </x:c>
      <x:c r="BK2" s="3" t="n">
        <x:f>AVERAGE(BK4,BK6,BK8,BK10,BK12,BK14,BK16,BK18,BK20,BK22)</x:f>
        <x:v>8.1</x:v>
      </x:c>
      <x:c r="BL2" s="3" t="n">
        <x:f>AVERAGE(BL4,BL6,BL8,BL10,BL12,BL14,BL16,BL18,BL20,BL22)</x:f>
        <x:v>0.6</x:v>
      </x:c>
      <x:c r="BM2" s="3" t="n">
        <x:f>AVERAGE(BM4,BM6,BM8,BM10,BM12,BM14,BM16,BM18,BM20,BM22)</x:f>
        <x:v>0</x:v>
      </x:c>
      <x:c r="BN2" s="3" t="n">
        <x:f>AVERAGE(BN4,BN6,BN8,BN10,BN12,BN14,BN16,BN18,BN20,BN22)</x:f>
        <x:v>173.9</x:v>
      </x:c>
      <x:c r="BO2" s="3" t="n">
        <x:f>AVERAGE(BO4,BO6,BO8,BO10,BO12,BO14,BO16,BO18,BO20,BO22)</x:f>
        <x:v>115.6</x:v>
      </x:c>
      <x:c r="BP2" s="3" t="n">
        <x:f>IFERROR(SUM(BO4,BO6,BO8,BO10,BO12,BO14,BO16,BO18,BO20,BO22)/SUM(BN4,BN6,BN8,BN10,BN12,BN14,BN16,BN18,BN20,BN22)*100,0)</x:f>
        <x:v>66.4749856239218</x:v>
      </x:c>
      <x:c r="BQ2" s="3" t="n">
        <x:f>AVERAGE(BQ4,BQ6,BQ8,BQ10,BQ12,BQ14,BQ16,BQ18,BQ20,BQ22)</x:f>
        <x:v>53.7</x:v>
      </x:c>
      <x:c r="BR2" s="3" t="n">
        <x:f>AVERAGE(BR4,BR6,BR8,BR10,BR12,BR14,BR16,BR18,BR20,BR22)</x:f>
        <x:v>24.5</x:v>
      </x:c>
      <x:c r="BS2" s="3" t="n">
        <x:f>IFERROR(SUM(BR4,BR6,BR8,BR10,BR12,BR14,BR16,BR18,BR20,BR22)/SUM(BQ4,BQ6,BQ8,BQ10,BQ12,BQ14,BQ16,BQ18,BQ20,BQ22)*100,0)</x:f>
        <x:v>45.62383612662943</x:v>
      </x:c>
      <x:c r="BT2" s="3" t="n">
        <x:f>AVERAGE(BT4,BT6,BT8,BT10,BT12,BT14,BT16,BT18,BT20,BT22)</x:f>
        <x:v>68.9</x:v>
      </x:c>
      <x:c r="BU2" s="3" t="n">
        <x:f>AVERAGE(BU4,BU6,BU8,BU10,BU12,BU14,BU16,BU18,BU20,BU22)</x:f>
        <x:v>40.6</x:v>
      </x:c>
      <x:c r="BV2" s="3" t="n">
        <x:f>IFERROR(SUM(BU4,BU6,BU8,BU10,BU12,BU14,BU16,BU18,BU20,BU22)/SUM(BT4,BT6,BT8,BT10,BT12,BT14,BT16,BT18,BT20,BT22)*100,0)</x:f>
        <x:v>58.92597968069666</x:v>
      </x:c>
      <x:c r="BW2" s="3" t="n">
        <x:f>AVERAGE(BW4,BW6,BW8,BW10,BW12,BW14,BW16,BW18,BW20,BW22)</x:f>
        <x:v>88.2</x:v>
      </x:c>
      <x:c r="BX2" s="3" t="n">
        <x:f>AVERAGE(BX4,BX6,BX8,BX10,BX12,BX14,BX16,BX18,BX20,BX22)</x:f>
        <x:v>60.8</x:v>
      </x:c>
      <x:c r="BY2" s="3" t="n">
        <x:f>IFERROR(SUM(BX4,BX6,BX8,BX10,BX12,BX14,BX16,BX18,BX20,BX22)/SUM(BW4,BW6,BW8,BW10,BW12,BW14,BW16,BW18,BW20,BW22)*100,0)</x:f>
        <x:v>68.93424036281179</x:v>
      </x:c>
      <x:c r="BZ2" s="3" t="n">
        <x:f>AVERAGE(BZ4,BZ6,BZ8,BZ10,BZ12,BZ14,BZ16,BZ18,BZ20,BZ22)</x:f>
        <x:v>31.4</x:v>
      </x:c>
      <x:c r="CA2" s="3" t="n">
        <x:f>AVERAGE(CA4,CA6,CA8,CA10,CA12,CA14,CA16,CA18,CA20,CA22)</x:f>
        <x:v>25.2</x:v>
      </x:c>
      <x:c r="CB2" s="3" t="n">
        <x:f>IFERROR(SUM(CA4,CA6,CA8,CA10,CA12,CA14,CA16,CA18,CA20,CA22)/SUM(BZ4,BZ6,BZ8,BZ10,BZ12,BZ14,BZ16,BZ18,BZ20,BZ22)*100,0)</x:f>
        <x:v>80.2547770700637</x:v>
      </x:c>
      <x:c r="CC2" s="3" t="n">
        <x:f>AVERAGE(CC4,CC6,CC8,CC10,CC12,CC14,CC16,CC18,CC20,CC22)</x:f>
        <x:v>6.577</x:v>
      </x:c>
    </x:row>
    <x:row r="3">
      <x:c r="A3" s="3" t="inlineStr">
        <x:is>
          <x:t xml:space="preserve">Opponents</x:t>
        </x:is>
      </x:c>
      <x:c r="B3" s="3"/>
      <x:c r="C3" s="3"/>
      <x:c r="D3" s="3"/>
      <x:c r="E3" s="3"/>
      <x:c r="F3" s="3"/>
      <x:c r="G3" s="3" t="n">
        <x:f>AVERAGE(G5,G7,G9,G11,G13,G15,G17,G19,G21,G23)</x:f>
        <x:v>0.2</x:v>
      </x:c>
      <x:c r="H3" s="3" t="n">
        <x:f>AVERAGE(H5,H7,H9,H11,H13,H15,H17,H19,H21,H23)</x:f>
        <x:v>0.42699999999999994</x:v>
      </x:c>
      <x:c r="I3" s="3" t="n">
        <x:f>AVERAGE(I5,I7,I9,I11,I13,I15,I17,I19,I21,I23)</x:f>
        <x:v>6.7</x:v>
      </x:c>
      <x:c r="J3" s="3" t="n">
        <x:f>AVERAGE(J5,J7,J9,J11,J13,J15,J17,J19,J21,J23)</x:f>
        <x:v>2.1</x:v>
      </x:c>
      <x:c r="K3" s="3" t="n">
        <x:f>IFERROR(SUM(J5,J7,J9,J11,J13,J15,J17,J19,J21,J23)/SUM(I5,I7,I9,I11,I13,I15,I17,I19,I21,I23)*100,0)</x:f>
        <x:v>31.343283582089555</x:v>
      </x:c>
      <x:c r="L3" s="3" t="n">
        <x:f>AVERAGE(L5,L7,L9,L11,L13,L15,L17,L19,L21,L23)</x:f>
        <x:v>356.1</x:v>
      </x:c>
      <x:c r="M3" s="3" t="n">
        <x:f>AVERAGE(M5,M7,M9,M11,M13,M15,M17,M19,M21,M23)</x:f>
        <x:v>247.6</x:v>
      </x:c>
      <x:c r="N3" s="3" t="n">
        <x:f>IFERROR(SUM(M5,M7,M9,M11,M13,M15,M17,M19,M21,M23)/SUM(L5,L7,L9,L11,L13,L15,L17,L19,L21,L23)*100,0)</x:f>
        <x:v>69.53103060937939</x:v>
      </x:c>
      <x:c r="O3" s="3" t="n">
        <x:f>AVERAGE(O5,O7,O9,O11,O13,O15,O17,O19,O21,O23)</x:f>
        <x:v>45.44</x:v>
      </x:c>
      <x:c r="P3" s="3" t="n">
        <x:f>AVERAGE(P5,P7,P9,P11,P13,P15,P17,P19,P21,P23)</x:f>
        <x:v>151.4</x:v>
      </x:c>
      <x:c r="Q3" s="3" t="n">
        <x:f>AVERAGE(Q5,Q7,Q9,Q11,Q13,Q15,Q17,Q19,Q21,Q23)</x:f>
        <x:v>34.9</x:v>
      </x:c>
      <x:c r="R3" s="3" t="n">
        <x:f>AVERAGE(R5,R7,R9,R11,R13,R15,R17,R19,R21,R23)</x:f>
        <x:v>63.4</x:v>
      </x:c>
      <x:c r="S3" s="3" t="n">
        <x:f>AVERAGE(S5,S7,S9,S11,S13,S15,S17,S19,S21,S23)</x:f>
        <x:v>53.1</x:v>
      </x:c>
      <x:c r="T3" s="3" t="n">
        <x:f>AVERAGE(T5,T7,T9,T11,T13,T15,T17,T19,T21,T23)</x:f>
        <x:v>87.5</x:v>
      </x:c>
      <x:c r="U3" s="3" t="n">
        <x:f>AVERAGE(U5,U7,U9,U11,U13,U15,U17,U19,U21,U23)</x:f>
        <x:v>45.8</x:v>
      </x:c>
      <x:c r="V3" s="3" t="n">
        <x:f>AVERAGE(V5,V7,V9,V11,V13,V15,V17,V19,V21,V23)</x:f>
        <x:v>32.7</x:v>
      </x:c>
      <x:c r="W3" s="3" t="n">
        <x:f>AVERAGE(W5,W7,W9,W11,W13,W15,W17,W19,W21,W23)</x:f>
        <x:v>9</x:v>
      </x:c>
      <x:c r="X3" s="3" t="n">
        <x:f>AVERAGE(X5,X7,X9,X11,X13,X15,X17,X19,X21,X23)</x:f>
        <x:v>200</x:v>
      </x:c>
      <x:c r="Y3" s="3" t="n">
        <x:f>AVERAGE(Y5,Y7,Y9,Y11,Y13,Y15,Y17,Y19,Y21,Y23)</x:f>
        <x:v>91.8</x:v>
      </x:c>
      <x:c r="Z3" s="3" t="n">
        <x:f>IFERROR(SUM(Y5,Y7,Y9,Y11,Y13,Y15,Y17,Y19,Y21,Y23)/SUM(X5,X7,X9,X11,X13,X15,X17,X19,X21,X23)*100,0)</x:f>
        <x:v>45.9</x:v>
      </x:c>
      <x:c r="AA3" s="3" t="n">
        <x:f>AVERAGE(AA5,AA7,AA9,AA11,AA13,AA15,AA17,AA19,AA21,AA23)</x:f>
        <x:v>4.2</x:v>
      </x:c>
      <x:c r="AB3" s="3" t="n">
        <x:f>AVERAGE(AB5,AB7,AB9,AB11,AB13,AB15,AB17,AB19,AB21,AB23)</x:f>
        <x:v>1.1</x:v>
      </x:c>
      <x:c r="AC3" s="3" t="n">
        <x:f>IFERROR(SUM(AB5,AB7,AB9,AB11,AB13,AB15,AB17,AB19,AB21,AB23)/SUM(AA5,AA7,AA9,AA11,AA13,AA15,AA17,AA19,AA21,AA23)*100,0)</x:f>
        <x:v>26.190476190476193</x:v>
      </x:c>
      <x:c r="AD3" s="3" t="n">
        <x:f>AVERAGE(AD5,AD7,AD9,AD11,AD13,AD15,AD17,AD19,AD21,AD23)</x:f>
        <x:v>23.5</x:v>
      </x:c>
      <x:c r="AE3" s="3" t="n">
        <x:f>AVERAGE(AE5,AE7,AE9,AE11,AE13,AE15,AE17,AE19,AE21,AE23)</x:f>
        <x:v>4.1</x:v>
      </x:c>
      <x:c r="AF3" s="3" t="n">
        <x:f>IFERROR(SUM(AE5,AE7,AE9,AE11,AE13,AE15,AE17,AE19,AE21,AE23)/SUM(AD5,AD7,AD9,AD11,AD13,AD15,AD17,AD19,AD21,AD23)*100,0)</x:f>
        <x:v>17.4468085106383</x:v>
      </x:c>
      <x:c r="AG3" s="3" t="n">
        <x:f>AVERAGE(AG5,AG7,AG9,AG11,AG13,AG15,AG17,AG19,AG21,AG23)</x:f>
        <x:v>28.3</x:v>
      </x:c>
      <x:c r="AH3" s="3" t="n">
        <x:f>AVERAGE(AH5,AH7,AH9,AH11,AH13,AH15,AH17,AH19,AH21,AH23)</x:f>
        <x:v>2.1</x:v>
      </x:c>
      <x:c r="AI3" s="3" t="n">
        <x:f>IFERROR(SUM(AH5,AH7,AH9,AH11,AH13,AH15,AH17,AH19,AH21,AH23)/SUM(AG5,AG7,AG9,AG11,AG13,AG15,AG17,AG19,AG21,AG23)*100,0)</x:f>
        <x:v>7.420494699646643</x:v>
      </x:c>
      <x:c r="AJ3" s="3" t="n">
        <x:f>AVERAGE(AJ5,AJ7,AJ9,AJ11,AJ13,AJ15,AJ17,AJ19,AJ21,AJ23)</x:f>
        <x:v>3.2</x:v>
      </x:c>
      <x:c r="AK3" s="3" t="n">
        <x:f>AVERAGE(AK5,AK7,AK9,AK11,AK13,AK15,AK17,AK19,AK21,AK23)</x:f>
        <x:v>0.8</x:v>
      </x:c>
      <x:c r="AL3" s="3" t="n">
        <x:f>IFERROR(SUM(AK5,AK7,AK9,AK11,AK13,AK15,AK17,AK19,AK21,AK23)/SUM(AJ5,AJ7,AJ9,AJ11,AJ13,AJ15,AJ17,AJ19,AJ21,AJ23)*100,0)</x:f>
        <x:v>25</x:v>
      </x:c>
      <x:c r="AM3" s="3" t="n">
        <x:f>AVERAGE(AM5,AM7,AM9,AM11,AM13,AM15,AM17,AM19,AM21,AM23)</x:f>
        <x:v>9.7</x:v>
      </x:c>
      <x:c r="AN3" s="3" t="n">
        <x:f>AVERAGE(AN5,AN7,AN9,AN11,AN13,AN15,AN17,AN19,AN21,AN23)</x:f>
        <x:v>2</x:v>
      </x:c>
      <x:c r="AO3" s="3" t="n">
        <x:f>IFERROR(SUM(AN5,AN7,AN9,AN11,AN13,AN15,AN17,AN19,AN21,AN23)/SUM(AM5,AM7,AM9,AM11,AM13,AM15,AM17,AM19,AM21,AM23)*100,0)</x:f>
        <x:v>20.618556701030926</x:v>
      </x:c>
      <x:c r="AP3" s="3" t="n">
        <x:f>AVERAGE(AP5,AP7,AP9,AP11,AP13,AP15,AP17,AP19,AP21,AP23)</x:f>
        <x:v>2.2</x:v>
      </x:c>
      <x:c r="AQ3" s="3" t="n">
        <x:f>AVERAGE(AQ5,AQ7,AQ9,AQ11,AQ13,AQ15,AQ17,AQ19,AQ21,AQ23)</x:f>
        <x:v>2.4</x:v>
      </x:c>
      <x:c r="AR3" s="3" t="n">
        <x:f>AVERAGE(AR5,AR7,AR9,AR11,AR13,AR15,AR17,AR19,AR21,AR23)</x:f>
        <x:v>7.3</x:v>
      </x:c>
      <x:c r="AS3" s="3" t="n">
        <x:f>AVERAGE(AS5,AS7,AS9,AS11,AS13,AS15,AS17,AS19,AS21,AS23)</x:f>
        <x:v>84.6</x:v>
      </x:c>
      <x:c r="AT3" s="3" t="n">
        <x:f>AVERAGE(AT5,AT7,AT9,AT11,AT13,AT15,AT17,AT19,AT21,AT23)</x:f>
        <x:v>22.6</x:v>
      </x:c>
      <x:c r="AU3" s="3" t="n">
        <x:f>IFERROR(SUM(AT5,AT7,AT9,AT11,AT13,AT15,AT17,AT19,AT21,AT23)/SUM(AS5,AS7,AS9,AS11,AS13,AS15,AS17,AS19,AS21,AS23)*100,0)</x:f>
        <x:v>26.713947990543733</x:v>
      </x:c>
      <x:c r="AV3" s="3" t="n">
        <x:f>AVERAGE(AV5,AV7,AV9,AV11,AV13,AV15,AV17,AV19,AV21,AV23)</x:f>
        <x:v>2.3</x:v>
      </x:c>
      <x:c r="AW3" s="3" t="n">
        <x:f>AVERAGE(AW5,AW7,AW9,AW11,AW13,AW15,AW17,AW19,AW21,AW23)</x:f>
        <x:v>17.8</x:v>
      </x:c>
      <x:c r="AX3" s="3" t="n">
        <x:f>AVERAGE(AX5,AX7,AX9,AX11,AX13,AX15,AX17,AX19,AX21,AX23)</x:f>
        <x:v>8.2</x:v>
      </x:c>
      <x:c r="AY3" s="3" t="n">
        <x:f>IFERROR(SUM(AX5,AX7,AX9,AX11,AX13,AX15,AX17,AX19,AX21,AX23)/SUM(AW5,AW7,AW9,AW11,AW13,AW15,AW17,AW19,AW21,AW23)*100,0)</x:f>
        <x:v>46.06741573033708</x:v>
      </x:c>
      <x:c r="AZ3" s="3" t="n">
        <x:f>AVERAGE(AZ5,AZ7,AZ9,AZ11,AZ13,AZ15,AZ17,AZ19,AZ21,AZ23)</x:f>
        <x:v>75.2</x:v>
      </x:c>
      <x:c r="BA3" s="3" t="n">
        <x:f>AVERAGE(BA5,BA7,BA9,BA11,BA13,BA15,BA17,BA19,BA21,BA23)</x:f>
        <x:v>50.4</x:v>
      </x:c>
      <x:c r="BB3" s="3" t="n">
        <x:f>IFERROR(SUM(BA5,BA7,BA9,BA11,BA13,BA15,BA17,BA19,BA21,BA23)/SUM(AZ5,AZ7,AZ9,AZ11,AZ13,AZ15,AZ17,AZ19,AZ21,AZ23)*100,0)</x:f>
        <x:v>67.02127659574468</x:v>
      </x:c>
      <x:c r="BC3" s="3" t="n">
        <x:f>AVERAGE(BC5,BC7,BC9,BC11,BC13,BC15,BC17,BC19,BC21,BC23)</x:f>
        <x:v>16</x:v>
      </x:c>
      <x:c r="BD3" s="3" t="n">
        <x:f>AVERAGE(BD5,BD7,BD9,BD11,BD13,BD15,BD17,BD19,BD21,BD23)</x:f>
        <x:v>7.7</x:v>
      </x:c>
      <x:c r="BE3" s="3" t="n">
        <x:f>IFERROR(SUM(BD5,BD7,BD9,BD11,BD13,BD15,BD17,BD19,BD21,BD23)/SUM(BC5,BC7,BC9,BC11,BC13,BC15,BC17,BC19,BC21,BC23)*100,0)</x:f>
        <x:v>48.125</x:v>
      </x:c>
      <x:c r="BF3" s="3" t="n">
        <x:f>AVERAGE(BF5,BF7,BF9,BF11,BF13,BF15,BF17,BF19,BF21,BF23)</x:f>
        <x:v>2.5</x:v>
      </x:c>
      <x:c r="BG3" s="3" t="n">
        <x:f>AVERAGE(BG5,BG7,BG9,BG11,BG13,BG15,BG17,BG19,BG21,BG23)</x:f>
        <x:v>1.4</x:v>
      </x:c>
      <x:c r="BH3" s="3" t="n">
        <x:f>IFERROR(SUM(BG5,BG7,BG9,BG11,BG13,BG15,BG17,BG19,BG21,BG23)/SUM(BF5,BF7,BF9,BF11,BF13,BF15,BF17,BF19,BF21,BF23)*100,0)</x:f>
        <x:v>56.00000000000001</x:v>
      </x:c>
      <x:c r="BI3" s="3" t="n">
        <x:f>AVERAGE(BI5,BI7,BI9,BI11,BI13,BI15,BI17,BI19,BI21,BI23)</x:f>
        <x:v>47.8</x:v>
      </x:c>
      <x:c r="BJ3" s="3" t="n">
        <x:f>AVERAGE(BJ5,BJ7,BJ9,BJ11,BJ13,BJ15,BJ17,BJ19,BJ21,BJ23)</x:f>
        <x:v>17.7</x:v>
      </x:c>
      <x:c r="BK3" s="3" t="n">
        <x:f>AVERAGE(BK5,BK7,BK9,BK11,BK13,BK15,BK17,BK19,BK21,BK23)</x:f>
        <x:v>4.9</x:v>
      </x:c>
      <x:c r="BL3" s="3" t="n">
        <x:f>AVERAGE(BL5,BL7,BL9,BL11,BL13,BL15,BL17,BL19,BL21,BL23)</x:f>
        <x:v>0.7</x:v>
      </x:c>
      <x:c r="BM3" s="3" t="n">
        <x:f>AVERAGE(BM5,BM7,BM9,BM11,BM13,BM15,BM17,BM19,BM21,BM23)</x:f>
        <x:v>0</x:v>
      </x:c>
      <x:c r="BN3" s="3" t="n">
        <x:f>AVERAGE(BN5,BN7,BN9,BN11,BN13,BN15,BN17,BN19,BN21,BN23)</x:f>
        <x:v>146.5</x:v>
      </x:c>
      <x:c r="BO3" s="3" t="n">
        <x:f>AVERAGE(BO5,BO7,BO9,BO11,BO13,BO15,BO17,BO19,BO21,BO23)</x:f>
        <x:v>82.9</x:v>
      </x:c>
      <x:c r="BP3" s="3" t="n">
        <x:f>IFERROR(SUM(BO5,BO7,BO9,BO11,BO13,BO15,BO17,BO19,BO21,BO23)/SUM(BN5,BN7,BN9,BN11,BN13,BN15,BN17,BN19,BN21,BN23)*100,0)</x:f>
        <x:v>56.587030716723554</x:v>
      </x:c>
      <x:c r="BQ3" s="3" t="n">
        <x:f>AVERAGE(BQ5,BQ7,BQ9,BQ11,BQ13,BQ15,BQ17,BQ19,BQ21,BQ23)</x:f>
        <x:v>52.1</x:v>
      </x:c>
      <x:c r="BR3" s="3" t="n">
        <x:f>AVERAGE(BR5,BR7,BR9,BR11,BR13,BR15,BR17,BR19,BR21,BR23)</x:f>
        <x:v>21.9</x:v>
      </x:c>
      <x:c r="BS3" s="3" t="n">
        <x:f>IFERROR(SUM(BR5,BR7,BR9,BR11,BR13,BR15,BR17,BR19,BR21,BR23)/SUM(BQ5,BQ7,BQ9,BQ11,BQ13,BQ15,BQ17,BQ19,BQ21,BQ23)*100,0)</x:f>
        <x:v>42.034548944337814</x:v>
      </x:c>
      <x:c r="BT3" s="3" t="n">
        <x:f>AVERAGE(BT5,BT7,BT9,BT11,BT13,BT15,BT17,BT19,BT21,BT23)</x:f>
        <x:v>43.2</x:v>
      </x:c>
      <x:c r="BU3" s="3" t="n">
        <x:f>AVERAGE(BU5,BU7,BU9,BU11,BU13,BU15,BU17,BU19,BU21,BU23)</x:f>
        <x:v>22.6</x:v>
      </x:c>
      <x:c r="BV3" s="3" t="n">
        <x:f>IFERROR(SUM(BU5,BU7,BU9,BU11,BU13,BU15,BU17,BU19,BU21,BU23)/SUM(BT5,BT7,BT9,BT11,BT13,BT15,BT17,BT19,BT21,BT23)*100,0)</x:f>
        <x:v>52.31481481481482</x:v>
      </x:c>
      <x:c r="BW3" s="3" t="n">
        <x:f>AVERAGE(BW5,BW7,BW9,BW11,BW13,BW15,BW17,BW19,BW21,BW23)</x:f>
        <x:v>77.2</x:v>
      </x:c>
      <x:c r="BX3" s="3" t="n">
        <x:f>AVERAGE(BX5,BX7,BX9,BX11,BX13,BX15,BX17,BX19,BX21,BX23)</x:f>
        <x:v>33.4</x:v>
      </x:c>
      <x:c r="BY3" s="3" t="n">
        <x:f>IFERROR(SUM(BX5,BX7,BX9,BX11,BX13,BX15,BX17,BX19,BX21,BX23)/SUM(BW5,BW7,BW9,BW11,BW13,BW15,BW17,BW19,BW21,BW23)*100,0)</x:f>
        <x:v>43.26424870466321</x:v>
      </x:c>
      <x:c r="BZ3" s="3" t="n">
        <x:f>AVERAGE(BZ5,BZ7,BZ9,BZ11,BZ13,BZ15,BZ17,BZ19,BZ21,BZ23)</x:f>
        <x:v>31.7</x:v>
      </x:c>
      <x:c r="CA3" s="3" t="n">
        <x:f>AVERAGE(CA5,CA7,CA9,CA11,CA13,CA15,CA17,CA19,CA21,CA23)</x:f>
        <x:v>22.8</x:v>
      </x:c>
      <x:c r="CB3" s="3" t="n">
        <x:f>IFERROR(SUM(CA5,CA7,CA9,CA11,CA13,CA15,CA17,CA19,CA21,CA23)/SUM(BZ5,BZ7,BZ9,BZ11,BZ13,BZ15,BZ17,BZ19,BZ21,BZ23)*100,0)</x:f>
        <x:v>71.92429022082018</x:v>
      </x:c>
      <x:c r="CC3" s="3" t="n">
        <x:f>AVERAGE(CC5,CC7,CC9,CC11,CC13,CC15,CC17,CC19,CC21,CC23)</x:f>
        <x:v>24.242</x:v>
      </x:c>
    </x:row>
    <x:row r="4" ht="12" customHeight="1">
      <x:c r="A4" t="inlineStr">
        <x:is>
          <x:t xml:space="preserve">2026-05-31</x:t>
        </x:is>
      </x:c>
      <x:c r="B4" t="inlineStr">
        <x:is>
          <x:t xml:space="preserve">Perth - Sorrento 3:0</x:t>
        </x:is>
      </x:c>
      <x:c r="C4" t="inlineStr">
        <x:is>
          <x:t xml:space="preserve">Australia. Western Australia NPL Women</x:t>
        </x:is>
      </x:c>
      <x:c r="D4" t="n">
        <x:v>94</x:v>
      </x:c>
      <x:c r="E4" t="inlineStr">
        <x:is>
          <x:t xml:space="preserve">Perth</x:t>
        </x:is>
      </x:c>
      <x:c r="F4" t="inlineStr">
        <x:is>
          <x:t xml:space="preserve">4-4-2 (100.0%)</x:t>
        </x:is>
      </x:c>
      <x:c r="G4" t="n">
        <x:v>3</x:v>
      </x:c>
      <x:c r="H4" t="n">
        <x:v>4.37</x:v>
      </x:c>
      <x:c r="I4" t="n">
        <x:v>31.0</x:v>
      </x:c>
      <x:c r="J4" t="n">
        <x:v>6.0</x:v>
      </x:c>
      <x:c r="K4" t="n">
        <x:v>19.35</x:v>
      </x:c>
      <x:c r="L4" t="n">
        <x:v>559.0</x:v>
      </x:c>
      <x:c r="M4" t="n">
        <x:v>467.0</x:v>
      </x:c>
      <x:c r="N4" t="n">
        <x:v>83.54</x:v>
      </x:c>
      <x:c r="O4" t="n">
        <x:v>62.54</x:v>
      </x:c>
      <x:c r="P4" t="n">
        <x:v>108.0</x:v>
      </x:c>
      <x:c r="Q4" t="n">
        <x:v>1.0</x:v>
      </x:c>
      <x:c r="R4" t="n">
        <x:v>13.0</x:v>
      </x:c>
      <x:c r="S4" t="n">
        <x:v>94.0</x:v>
      </x:c>
      <x:c r="T4" t="n">
        <x:v>91.0</x:v>
      </x:c>
      <x:c r="U4" t="n">
        <x:v>8.0</x:v>
      </x:c>
      <x:c r="V4" t="n">
        <x:v>38.0</x:v>
      </x:c>
      <x:c r="W4" t="n">
        <x:v>45.0</x:v>
      </x:c>
      <x:c r="X4" t="n">
        <x:v>179.0</x:v>
      </x:c>
      <x:c r="Y4" t="n">
        <x:v>84.0</x:v>
      </x:c>
      <x:c r="Z4" t="n">
        <x:v>46.93</x:v>
      </x:c>
      <x:c r="AA4" t="n">
        <x:v>12.0</x:v>
      </x:c>
      <x:c r="AB4" t="n">
        <x:v>2.0</x:v>
      </x:c>
      <x:c r="AC4" t="n">
        <x:v>16.67</x:v>
      </x:c>
      <x:c r="AD4" t="n">
        <x:v>78</x:v>
      </x:c>
      <x:c r="AE4" t="n">
        <x:v>27</x:v>
      </x:c>
      <x:c r="AF4" t="n">
        <x:v>34.62</x:v>
      </x:c>
      <x:c r="AG4" t="n">
        <x:v>13</x:v>
      </x:c>
      <x:c r="AH4" t="n">
        <x:v>3</x:v>
      </x:c>
      <x:c r="AI4" t="n">
        <x:v>23.08</x:v>
      </x:c>
      <x:c r="AJ4" t="n">
        <x:v>8.0</x:v>
      </x:c>
      <x:c r="AK4" t="n">
        <x:v>3.0</x:v>
      </x:c>
      <x:c r="AL4" t="n">
        <x:v>37.5</x:v>
      </x:c>
      <x:c r="AM4" t="n">
        <x:v>29.0</x:v>
      </x:c>
      <x:c r="AN4" t="n">
        <x:v>7.0</x:v>
      </x:c>
      <x:c r="AO4" t="n">
        <x:v>24.14</x:v>
      </x:c>
      <x:c r="AP4" t="n">
        <x:v>11.0</x:v>
      </x:c>
      <x:c r="AQ4" t="n">
        <x:v>31.0</x:v>
      </x:c>
      <x:c r="AR4" t="n">
        <x:v>58.0</x:v>
      </x:c>
      <x:c r="AS4" t="n">
        <x:v>81.0</x:v>
      </x:c>
      <x:c r="AT4" t="n">
        <x:v>23.0</x:v>
      </x:c>
      <x:c r="AU4" t="n">
        <x:v>28.4</x:v>
      </x:c>
      <x:c r="AV4" t="n">
        <x:v>0.0</x:v>
      </x:c>
      <x:c r="AW4" t="n">
        <x:v>0.0</x:v>
      </x:c>
      <x:c r="AX4" t="n">
        <x:v>0.0</x:v>
      </x:c>
      <x:c r="AY4" t="n">
        <x:v>0</x:v>
      </x:c>
      <x:c r="AZ4" t="n">
        <x:v>67.0</x:v>
      </x:c>
      <x:c r="BA4" t="n">
        <x:v>47.0</x:v>
      </x:c>
      <x:c r="BB4" t="n">
        <x:v>70.15</x:v>
      </x:c>
      <x:c r="BC4" t="n">
        <x:v>7.0</x:v>
      </x:c>
      <x:c r="BD4" t="n">
        <x:v>4.0</x:v>
      </x:c>
      <x:c r="BE4" t="n">
        <x:v>57.14</x:v>
      </x:c>
      <x:c r="BF4" t="n">
        <x:v>1.0</x:v>
      </x:c>
      <x:c r="BG4" t="n">
        <x:v>0.0</x:v>
      </x:c>
      <x:c r="BH4" t="n">
        <x:v>0.0</x:v>
      </x:c>
      <x:c r="BI4" t="n">
        <x:v>23.0</x:v>
      </x:c>
      <x:c r="BJ4" t="n">
        <x:v>2.0</x:v>
      </x:c>
      <x:c r="BK4" t="n">
        <x:v>13.0</x:v>
      </x:c>
      <x:c r="BL4" t="n">
        <x:v>0.0</x:v>
      </x:c>
      <x:c r="BM4" t="n">
        <x:v>0.0</x:v>
      </x:c>
      <x:c r="BN4" t="n">
        <x:v>187.0</x:v>
      </x:c>
      <x:c r="BO4" t="n">
        <x:v>148.0</x:v>
      </x:c>
      <x:c r="BP4" t="n">
        <x:v>79.14</x:v>
      </x:c>
      <x:c r="BQ4" t="n">
        <x:v>40.0</x:v>
      </x:c>
      <x:c r="BR4" t="n">
        <x:v>26.0</x:v>
      </x:c>
      <x:c r="BS4" t="n">
        <x:v>65.0</x:v>
      </x:c>
      <x:c r="BT4" t="n">
        <x:v>95.0</x:v>
      </x:c>
      <x:c r="BU4" t="n">
        <x:v>74.0</x:v>
      </x:c>
      <x:c r="BV4" t="n">
        <x:v>77.89</x:v>
      </x:c>
      <x:c r="BW4" t="n">
        <x:v>110.0</x:v>
      </x:c>
      <x:c r="BX4" t="n">
        <x:v>101.0</x:v>
      </x:c>
      <x:c r="BY4" t="n">
        <x:v>91.82</x:v>
      </x:c>
      <x:c r="BZ4" t="n">
        <x:v>31.0</x:v>
      </x:c>
      <x:c r="CA4" t="n">
        <x:v>29.0</x:v>
      </x:c>
      <x:c r="CB4" t="n">
        <x:v>93.55</x:v>
      </x:c>
      <x:c r="CC4" t="n">
        <x:v>5.51</x:v>
      </x:c>
    </x:row>
    <x:row r="5" ht="12" customHeight="1">
      <x:c r="A5" t="inlineStr">
        <x:is>
          <x:t xml:space="preserve">2026-05-31</x:t>
        </x:is>
      </x:c>
      <x:c r="B5" t="inlineStr">
        <x:is>
          <x:t xml:space="preserve">Perth - Sorrento 3:0</x:t>
        </x:is>
      </x:c>
      <x:c r="C5" t="inlineStr">
        <x:is>
          <x:t xml:space="preserve">Australia. Western Australia NPL Women</x:t>
        </x:is>
      </x:c>
      <x:c r="D5" t="n">
        <x:v>94</x:v>
      </x:c>
      <x:c r="E5" t="inlineStr">
        <x:is>
          <x:t xml:space="preserve">Sorrento</x:t>
        </x:is>
      </x:c>
      <x:c r="F5" t="inlineStr">
        <x:is>
          <x:t xml:space="preserve">4-5-1 (100.0%)</x:t>
        </x:is>
      </x:c>
      <x:c r="G5" t="n">
        <x:v>0</x:v>
      </x:c>
      <x:c r="H5" t="n">
        <x:v>0.0</x:v>
      </x:c>
      <x:c r="I5" t="n">
        <x:v>0.0</x:v>
      </x:c>
      <x:c r="J5" t="n">
        <x:v>0.0</x:v>
      </x:c>
      <x:c r="K5" t="n">
        <x:v>0</x:v>
      </x:c>
      <x:c r="L5" t="n">
        <x:v>284.0</x:v>
      </x:c>
      <x:c r="M5" t="n">
        <x:v>178.0</x:v>
      </x:c>
      <x:c r="N5" t="n">
        <x:v>62.68</x:v>
      </x:c>
      <x:c r="O5" t="n">
        <x:v>37.46</x:v>
      </x:c>
      <x:c r="P5" t="n">
        <x:v>140.0</x:v>
      </x:c>
      <x:c r="Q5" t="n">
        <x:v>63.0</x:v>
      </x:c>
      <x:c r="R5" t="n">
        <x:v>61.0</x:v>
      </x:c>
      <x:c r="S5" t="n">
        <x:v>16.0</x:v>
      </x:c>
      <x:c r="T5" t="n">
        <x:v>75.0</x:v>
      </x:c>
      <x:c r="U5" t="n">
        <x:v>68.0</x:v>
      </x:c>
      <x:c r="V5" t="n">
        <x:v>6.0</x:v>
      </x:c>
      <x:c r="W5" t="n">
        <x:v>1.0</x:v>
      </x:c>
      <x:c r="X5" t="n">
        <x:v>179.0</x:v>
      </x:c>
      <x:c r="Y5" t="n">
        <x:v>93.0</x:v>
      </x:c>
      <x:c r="Z5" t="n">
        <x:v>51.96</x:v>
      </x:c>
      <x:c r="AA5" t="n">
        <x:v>0.0</x:v>
      </x:c>
      <x:c r="AB5" t="n">
        <x:v>0.0</x:v>
      </x:c>
      <x:c r="AC5" t="n">
        <x:v>0</x:v>
      </x:c>
      <x:c r="AD5" t="n">
        <x:v>2</x:v>
      </x:c>
      <x:c r="AE5" t="n">
        <x:v>0</x:v>
      </x:c>
      <x:c r="AF5" t="n">
        <x:v>0.0</x:v>
      </x:c>
      <x:c r="AG5" t="n">
        <x:v>42</x:v>
      </x:c>
      <x:c r="AH5" t="n">
        <x:v>0</x:v>
      </x:c>
      <x:c r="AI5" t="n">
        <x:v>0.0</x:v>
      </x:c>
      <x:c r="AJ5" t="n">
        <x:v>0.0</x:v>
      </x:c>
      <x:c r="AK5" t="n">
        <x:v>0.0</x:v>
      </x:c>
      <x:c r="AL5" t="n">
        <x:v>0</x:v>
      </x:c>
      <x:c r="AM5" t="n">
        <x:v>1.0</x:v>
      </x:c>
      <x:c r="AN5" t="n">
        <x:v>0.0</x:v>
      </x:c>
      <x:c r="AO5" t="n">
        <x:v>0.0</x:v>
      </x:c>
      <x:c r="AP5" t="n">
        <x:v>0.0</x:v>
      </x:c>
      <x:c r="AQ5" t="n">
        <x:v>0.0</x:v>
      </x:c>
      <x:c r="AR5" t="n">
        <x:v>1.0</x:v>
      </x:c>
      <x:c r="AS5" t="n">
        <x:v>67.0</x:v>
      </x:c>
      <x:c r="AT5" t="n">
        <x:v>20.0</x:v>
      </x:c>
      <x:c r="AU5" t="n">
        <x:v>29.85</x:v>
      </x:c>
      <x:c r="AV5" t="n">
        <x:v>3.0</x:v>
      </x:c>
      <x:c r="AW5" t="n">
        <x:v>31.0</x:v>
      </x:c>
      <x:c r="AX5" t="n">
        <x:v>9.0</x:v>
      </x:c>
      <x:c r="AY5" t="n">
        <x:v>29.03</x:v>
      </x:c>
      <x:c r="AZ5" t="n">
        <x:v>81.0</x:v>
      </x:c>
      <x:c r="BA5" t="n">
        <x:v>58.0</x:v>
      </x:c>
      <x:c r="BB5" t="n">
        <x:v>71.6</x:v>
      </x:c>
      <x:c r="BC5" t="n">
        <x:v>7.0</x:v>
      </x:c>
      <x:c r="BD5" t="n">
        <x:v>2.0</x:v>
      </x:c>
      <x:c r="BE5" t="n">
        <x:v>28.57</x:v>
      </x:c>
      <x:c r="BF5" t="n">
        <x:v>2.0</x:v>
      </x:c>
      <x:c r="BG5" t="n">
        <x:v>0.0</x:v>
      </x:c>
      <x:c r="BH5" t="n">
        <x:v>0.0</x:v>
      </x:c>
      <x:c r="BI5" t="n">
        <x:v>49.0</x:v>
      </x:c>
      <x:c r="BJ5" t="n">
        <x:v>12.0</x:v>
      </x:c>
      <x:c r="BK5" t="n">
        <x:v>4.0</x:v>
      </x:c>
      <x:c r="BL5" t="n">
        <x:v>0.0</x:v>
      </x:c>
      <x:c r="BM5" t="n">
        <x:v>0.0</x:v>
      </x:c>
      <x:c r="BN5" t="n">
        <x:v>114.0</x:v>
      </x:c>
      <x:c r="BO5" t="n">
        <x:v>50.0</x:v>
      </x:c>
      <x:c r="BP5" t="n">
        <x:v>43.86</x:v>
      </x:c>
      <x:c r="BQ5" t="n">
        <x:v>48.0</x:v>
      </x:c>
      <x:c r="BR5" t="n">
        <x:v>11.0</x:v>
      </x:c>
      <x:c r="BS5" t="n">
        <x:v>22.92</x:v>
      </x:c>
      <x:c r="BT5" t="n">
        <x:v>15.0</x:v>
      </x:c>
      <x:c r="BU5" t="n">
        <x:v>6.0</x:v>
      </x:c>
      <x:c r="BV5" t="n">
        <x:v>40.0</x:v>
      </x:c>
      <x:c r="BW5" t="n">
        <x:v>80.0</x:v>
      </x:c>
      <x:c r="BX5" t="n">
        <x:v>11.0</x:v>
      </x:c>
      <x:c r="BY5" t="n">
        <x:v>13.75</x:v>
      </x:c>
      <x:c r="BZ5" t="n">
        <x:v>17.0</x:v>
      </x:c>
      <x:c r="CA5" t="n">
        <x:v>7.0</x:v>
      </x:c>
      <x:c r="CB5" t="n">
        <x:v>41.18</x:v>
      </x:c>
      <x:c r="CC5" t="n">
        <x:v>122.5</x:v>
      </x:c>
    </x:row>
    <x:row r="6" ht="12" customHeight="1">
      <x:c r="A6" t="inlineStr">
        <x:is>
          <x:t xml:space="preserve">2026-05-24</x:t>
        </x:is>
      </x:c>
      <x:c r="B6" t="inlineStr">
        <x:is>
          <x:t xml:space="preserve">Subiaco - Perth 0:5</x:t>
        </x:is>
      </x:c>
      <x:c r="C6" t="inlineStr">
        <x:is>
          <x:t xml:space="preserve">Australia. Western Australia NPL Women</x:t>
        </x:is>
      </x:c>
      <x:c r="D6" t="n">
        <x:v>95</x:v>
      </x:c>
      <x:c r="E6" t="inlineStr">
        <x:is>
          <x:t xml:space="preserve">Perth</x:t>
        </x:is>
      </x:c>
      <x:c r="F6" t="inlineStr">
        <x:is>
          <x:t xml:space="preserve">4-2-3-1 (100.0%)</x:t>
        </x:is>
      </x:c>
      <x:c r="G6" t="n">
        <x:v>5</x:v>
      </x:c>
      <x:c r="H6" t="n">
        <x:v>2.25</x:v>
      </x:c>
      <x:c r="I6" t="n">
        <x:v>16.0</x:v>
      </x:c>
      <x:c r="J6" t="n">
        <x:v>13.0</x:v>
      </x:c>
      <x:c r="K6" t="n">
        <x:v>81.25</x:v>
      </x:c>
      <x:c r="L6" t="n">
        <x:v>376.0</x:v>
      </x:c>
      <x:c r="M6" t="n">
        <x:v>265.0</x:v>
      </x:c>
      <x:c r="N6" t="n">
        <x:v>70.48</x:v>
      </x:c>
      <x:c r="O6" t="n">
        <x:v>55.9</x:v>
      </x:c>
      <x:c r="P6" t="n">
        <x:v>137.0</x:v>
      </x:c>
      <x:c r="Q6" t="n">
        <x:v>20.0</x:v>
      </x:c>
      <x:c r="R6" t="n">
        <x:v>48.0</x:v>
      </x:c>
      <x:c r="S6" t="n">
        <x:v>69.0</x:v>
      </x:c>
      <x:c r="T6" t="n">
        <x:v>105.0</x:v>
      </x:c>
      <x:c r="U6" t="n">
        <x:v>39.0</x:v>
      </x:c>
      <x:c r="V6" t="n">
        <x:v>44.0</x:v>
      </x:c>
      <x:c r="W6" t="n">
        <x:v>22.0</x:v>
      </x:c>
      <x:c r="X6" t="n">
        <x:v>242.0</x:v>
      </x:c>
      <x:c r="Y6" t="n">
        <x:v>126.0</x:v>
      </x:c>
      <x:c r="Z6" t="n">
        <x:v>52.07</x:v>
      </x:c>
      <x:c r="AA6" t="n">
        <x:v>6.0</x:v>
      </x:c>
      <x:c r="AB6" t="n">
        <x:v>5.0</x:v>
      </x:c>
      <x:c r="AC6" t="n">
        <x:v>83.33</x:v>
      </x:c>
      <x:c r="AD6" t="n">
        <x:v>46</x:v>
      </x:c>
      <x:c r="AE6" t="n">
        <x:v>11</x:v>
      </x:c>
      <x:c r="AF6" t="n">
        <x:v>23.91</x:v>
      </x:c>
      <x:c r="AG6" t="n">
        <x:v>17</x:v>
      </x:c>
      <x:c r="AH6" t="n">
        <x:v>5</x:v>
      </x:c>
      <x:c r="AI6" t="n">
        <x:v>29.41</x:v>
      </x:c>
      <x:c r="AJ6" t="n">
        <x:v>5.0</x:v>
      </x:c>
      <x:c r="AK6" t="n">
        <x:v>3.0</x:v>
      </x:c>
      <x:c r="AL6" t="n">
        <x:v>60.0</x:v>
      </x:c>
      <x:c r="AM6" t="n">
        <x:v>14.0</x:v>
      </x:c>
      <x:c r="AN6" t="n">
        <x:v>2.0</x:v>
      </x:c>
      <x:c r="AO6" t="n">
        <x:v>14.29</x:v>
      </x:c>
      <x:c r="AP6" t="n">
        <x:v>2.0</x:v>
      </x:c>
      <x:c r="AQ6" t="n">
        <x:v>7.0</x:v>
      </x:c>
      <x:c r="AR6" t="n">
        <x:v>28.0</x:v>
      </x:c>
      <x:c r="AS6" t="n">
        <x:v>99.0</x:v>
      </x:c>
      <x:c r="AT6" t="n">
        <x:v>37.0</x:v>
      </x:c>
      <x:c r="AU6" t="n">
        <x:v>37.37</x:v>
      </x:c>
      <x:c r="AV6" t="n">
        <x:v>0.0</x:v>
      </x:c>
      <x:c r="AW6" t="n">
        <x:v>5.0</x:v>
      </x:c>
      <x:c r="AX6" t="n">
        <x:v>1.0</x:v>
      </x:c>
      <x:c r="AY6" t="n">
        <x:v>20.0</x:v>
      </x:c>
      <x:c r="AZ6" t="n">
        <x:v>86.0</x:v>
      </x:c>
      <x:c r="BA6" t="n">
        <x:v>65.0</x:v>
      </x:c>
      <x:c r="BB6" t="n">
        <x:v>75.58</x:v>
      </x:c>
      <x:c r="BC6" t="n">
        <x:v>25.0</x:v>
      </x:c>
      <x:c r="BD6" t="n">
        <x:v>12.0</x:v>
      </x:c>
      <x:c r="BE6" t="n">
        <x:v>48.0</x:v>
      </x:c>
      <x:c r="BF6" t="n">
        <x:v>3.0</x:v>
      </x:c>
      <x:c r="BG6" t="n">
        <x:v>0.0</x:v>
      </x:c>
      <x:c r="BH6" t="n">
        <x:v>0.0</x:v>
      </x:c>
      <x:c r="BI6" t="n">
        <x:v>67.0</x:v>
      </x:c>
      <x:c r="BJ6" t="n">
        <x:v>17.0</x:v>
      </x:c>
      <x:c r="BK6" t="n">
        <x:v>10.0</x:v>
      </x:c>
      <x:c r="BL6" t="n">
        <x:v>2.0</x:v>
      </x:c>
      <x:c r="BM6" t="n">
        <x:v>0.0</x:v>
      </x:c>
      <x:c r="BN6" t="n">
        <x:v>160.0</x:v>
      </x:c>
      <x:c r="BO6" t="n">
        <x:v>106.0</x:v>
      </x:c>
      <x:c r="BP6" t="n">
        <x:v>66.25</x:v>
      </x:c>
      <x:c r="BQ6" t="n">
        <x:v>67.0</x:v>
      </x:c>
      <x:c r="BR6" t="n">
        <x:v>37.0</x:v>
      </x:c>
      <x:c r="BS6" t="n">
        <x:v>55.22</x:v>
      </x:c>
      <x:c r="BT6" t="n">
        <x:v>60.0</x:v>
      </x:c>
      <x:c r="BU6" t="n">
        <x:v>36.0</x:v>
      </x:c>
      <x:c r="BV6" t="n">
        <x:v>60.0</x:v>
      </x:c>
      <x:c r="BW6" t="n">
        <x:v>82.0</x:v>
      </x:c>
      <x:c r="BX6" t="n">
        <x:v>49.0</x:v>
      </x:c>
      <x:c r="BY6" t="n">
        <x:v>59.76</x:v>
      </x:c>
      <x:c r="BZ6" t="n">
        <x:v>34.0</x:v>
      </x:c>
      <x:c r="CA6" t="n">
        <x:v>29.0</x:v>
      </x:c>
      <x:c r="CB6" t="n">
        <x:v>85.29</x:v>
      </x:c>
      <x:c r="CC6" t="n">
        <x:v>4.92</x:v>
      </x:c>
    </x:row>
    <x:row r="7" ht="12" customHeight="1">
      <x:c r="A7" t="inlineStr">
        <x:is>
          <x:t xml:space="preserve">2026-05-24</x:t>
        </x:is>
      </x:c>
      <x:c r="B7" t="inlineStr">
        <x:is>
          <x:t xml:space="preserve">Subiaco - Perth 0:5</x:t>
        </x:is>
      </x:c>
      <x:c r="C7" t="inlineStr">
        <x:is>
          <x:t xml:space="preserve">Australia. Western Australia NPL Women</x:t>
        </x:is>
      </x:c>
      <x:c r="D7" t="n">
        <x:v>95</x:v>
      </x:c>
      <x:c r="E7" t="inlineStr">
        <x:is>
          <x:t xml:space="preserve">Subiaco</x:t>
        </x:is>
      </x:c>
      <x:c r="F7" t="inlineStr">
        <x:is>
          <x:t xml:space="preserve">4-3-3 (100.0%)</x:t>
        </x:is>
      </x:c>
      <x:c r="G7" t="n">
        <x:v>0</x:v>
      </x:c>
      <x:c r="H7" t="n">
        <x:v>0.13</x:v>
      </x:c>
      <x:c r="I7" t="n">
        <x:v>5.0</x:v>
      </x:c>
      <x:c r="J7" t="n">
        <x:v>1.0</x:v>
      </x:c>
      <x:c r="K7" t="n">
        <x:v>20.0</x:v>
      </x:c>
      <x:c r="L7" t="n">
        <x:v>328.0</x:v>
      </x:c>
      <x:c r="M7" t="n">
        <x:v>215.0</x:v>
      </x:c>
      <x:c r="N7" t="n">
        <x:v>65.55</x:v>
      </x:c>
      <x:c r="O7" t="n">
        <x:v>44.1</x:v>
      </x:c>
      <x:c r="P7" t="n">
        <x:v>164.0</x:v>
      </x:c>
      <x:c r="Q7" t="n">
        <x:v>39.0</x:v>
      </x:c>
      <x:c r="R7" t="n">
        <x:v>58.0</x:v>
      </x:c>
      <x:c r="S7" t="n">
        <x:v>67.0</x:v>
      </x:c>
      <x:c r="T7" t="n">
        <x:v>89.0</x:v>
      </x:c>
      <x:c r="U7" t="n">
        <x:v>41.0</x:v>
      </x:c>
      <x:c r="V7" t="n">
        <x:v>36.0</x:v>
      </x:c>
      <x:c r="W7" t="n">
        <x:v>12.0</x:v>
      </x:c>
      <x:c r="X7" t="n">
        <x:v>242.0</x:v>
      </x:c>
      <x:c r="Y7" t="n">
        <x:v>107.0</x:v>
      </x:c>
      <x:c r="Z7" t="n">
        <x:v>44.21</x:v>
      </x:c>
      <x:c r="AA7" t="n">
        <x:v>4.0</x:v>
      </x:c>
      <x:c r="AB7" t="n">
        <x:v>1.0</x:v>
      </x:c>
      <x:c r="AC7" t="n">
        <x:v>25.0</x:v>
      </x:c>
      <x:c r="AD7" t="n">
        <x:v>29</x:v>
      </x:c>
      <x:c r="AE7" t="n">
        <x:v>4</x:v>
      </x:c>
      <x:c r="AF7" t="n">
        <x:v>13.79</x:v>
      </x:c>
      <x:c r="AG7" t="n">
        <x:v>24</x:v>
      </x:c>
      <x:c r="AH7" t="n">
        <x:v>1</x:v>
      </x:c>
      <x:c r="AI7" t="n">
        <x:v>4.17</x:v>
      </x:c>
      <x:c r="AJ7" t="n">
        <x:v>5.0</x:v>
      </x:c>
      <x:c r="AK7" t="n">
        <x:v>1.0</x:v>
      </x:c>
      <x:c r="AL7" t="n">
        <x:v>20.0</x:v>
      </x:c>
      <x:c r="AM7" t="n">
        <x:v>8.0</x:v>
      </x:c>
      <x:c r="AN7" t="n">
        <x:v>1.0</x:v>
      </x:c>
      <x:c r="AO7" t="n">
        <x:v>12.5</x:v>
      </x:c>
      <x:c r="AP7" t="n">
        <x:v>1.0</x:v>
      </x:c>
      <x:c r="AQ7" t="n">
        <x:v>3.0</x:v>
      </x:c>
      <x:c r="AR7" t="n">
        <x:v>7.0</x:v>
      </x:c>
      <x:c r="AS7" t="n">
        <x:v>86.0</x:v>
      </x:c>
      <x:c r="AT7" t="n">
        <x:v>21.0</x:v>
      </x:c>
      <x:c r="AU7" t="n">
        <x:v>24.42</x:v>
      </x:c>
      <x:c r="AV7" t="n">
        <x:v>5.0</x:v>
      </x:c>
      <x:c r="AW7" t="n">
        <x:v>16.0</x:v>
      </x:c>
      <x:c r="AX7" t="n">
        <x:v>14.0</x:v>
      </x:c>
      <x:c r="AY7" t="n">
        <x:v>87.5</x:v>
      </x:c>
      <x:c r="AZ7" t="n">
        <x:v>99.0</x:v>
      </x:c>
      <x:c r="BA7" t="n">
        <x:v>62.0</x:v>
      </x:c>
      <x:c r="BB7" t="n">
        <x:v>62.63</x:v>
      </x:c>
      <x:c r="BC7" t="n">
        <x:v>25.0</x:v>
      </x:c>
      <x:c r="BD7" t="n">
        <x:v>9.0</x:v>
      </x:c>
      <x:c r="BE7" t="n">
        <x:v>36.0</x:v>
      </x:c>
      <x:c r="BF7" t="n">
        <x:v>3.0</x:v>
      </x:c>
      <x:c r="BG7" t="n">
        <x:v>2.0</x:v>
      </x:c>
      <x:c r="BH7" t="n">
        <x:v>66.67</x:v>
      </x:c>
      <x:c r="BI7" t="n">
        <x:v>36.0</x:v>
      </x:c>
      <x:c r="BJ7" t="n">
        <x:v>20.0</x:v>
      </x:c>
      <x:c r="BK7" t="n">
        <x:v>8.0</x:v>
      </x:c>
      <x:c r="BL7" t="n">
        <x:v>2.0</x:v>
      </x:c>
      <x:c r="BM7" t="n">
        <x:v>0.0</x:v>
      </x:c>
      <x:c r="BN7" t="n">
        <x:v>144.0</x:v>
      </x:c>
      <x:c r="BO7" t="n">
        <x:v>73.0</x:v>
      </x:c>
      <x:c r="BP7" t="n">
        <x:v>50.69</x:v>
      </x:c>
      <x:c r="BQ7" t="n">
        <x:v>79.0</x:v>
      </x:c>
      <x:c r="BR7" t="n">
        <x:v>37.0</x:v>
      </x:c>
      <x:c r="BS7" t="n">
        <x:v>46.84</x:v>
      </x:c>
      <x:c r="BT7" t="n">
        <x:v>42.0</x:v>
      </x:c>
      <x:c r="BU7" t="n">
        <x:v>23.0</x:v>
      </x:c>
      <x:c r="BV7" t="n">
        <x:v>54.76</x:v>
      </x:c>
      <x:c r="BW7" t="n">
        <x:v>81.0</x:v>
      </x:c>
      <x:c r="BX7" t="n">
        <x:v>36.0</x:v>
      </x:c>
      <x:c r="BY7" t="n">
        <x:v>44.44</x:v>
      </x:c>
      <x:c r="BZ7" t="n">
        <x:v>35.0</x:v>
      </x:c>
      <x:c r="CA7" t="n">
        <x:v>24.0</x:v>
      </x:c>
      <x:c r="CB7" t="n">
        <x:v>68.57</x:v>
      </x:c>
      <x:c r="CC7" t="n">
        <x:v>8.96</x:v>
      </x:c>
    </x:row>
    <x:row r="8" ht="12" customHeight="1">
      <x:c r="A8" t="inlineStr">
        <x:is>
          <x:t xml:space="preserve">2026-05-16</x:t>
        </x:is>
      </x:c>
      <x:c r="B8" t="inlineStr">
        <x:is>
          <x:t xml:space="preserve">West NTC - Perth 0:1</x:t>
        </x:is>
      </x:c>
      <x:c r="C8" t="inlineStr">
        <x:is>
          <x:t xml:space="preserve">Australia. Western Australia NPL Women</x:t>
        </x:is>
      </x:c>
      <x:c r="D8" t="n">
        <x:v>93</x:v>
      </x:c>
      <x:c r="E8" t="inlineStr">
        <x:is>
          <x:t xml:space="preserve">Perth</x:t>
        </x:is>
      </x:c>
      <x:c r="F8" t="inlineStr">
        <x:is>
          <x:t xml:space="preserve">4-1-4-1 (100.0%)</x:t>
        </x:is>
      </x:c>
      <x:c r="G8" t="n">
        <x:v>1</x:v>
      </x:c>
      <x:c r="H8" t="n">
        <x:v>1.0</x:v>
      </x:c>
      <x:c r="I8" t="n">
        <x:v>12.0</x:v>
      </x:c>
      <x:c r="J8" t="n">
        <x:v>6.0</x:v>
      </x:c>
      <x:c r="K8" t="n">
        <x:v>50.0</x:v>
      </x:c>
      <x:c r="L8" t="n">
        <x:v>596.0</x:v>
      </x:c>
      <x:c r="M8" t="n">
        <x:v>453.0</x:v>
      </x:c>
      <x:c r="N8" t="n">
        <x:v>76.01</x:v>
      </x:c>
      <x:c r="O8" t="n">
        <x:v>64.13</x:v>
      </x:c>
      <x:c r="P8" t="n">
        <x:v>176.0</x:v>
      </x:c>
      <x:c r="Q8" t="n">
        <x:v>25.0</x:v>
      </x:c>
      <x:c r="R8" t="n">
        <x:v>63.0</x:v>
      </x:c>
      <x:c r="S8" t="n">
        <x:v>88.0</x:v>
      </x:c>
      <x:c r="T8" t="n">
        <x:v>121.0</x:v>
      </x:c>
      <x:c r="U8" t="n">
        <x:v>32.0</x:v>
      </x:c>
      <x:c r="V8" t="n">
        <x:v>63.0</x:v>
      </x:c>
      <x:c r="W8" t="n">
        <x:v>26.0</x:v>
      </x:c>
      <x:c r="X8" t="n">
        <x:v>221.0</x:v>
      </x:c>
      <x:c r="Y8" t="n">
        <x:v>124.0</x:v>
      </x:c>
      <x:c r="Z8" t="n">
        <x:v>56.11</x:v>
      </x:c>
      <x:c r="AA8" t="n">
        <x:v>7.0</x:v>
      </x:c>
      <x:c r="AB8" t="n">
        <x:v>4.0</x:v>
      </x:c>
      <x:c r="AC8" t="n">
        <x:v>57.14</x:v>
      </x:c>
      <x:c r="AD8" t="n">
        <x:v>41</x:v>
      </x:c>
      <x:c r="AE8" t="n">
        <x:v>8</x:v>
      </x:c>
      <x:c r="AF8" t="n">
        <x:v>19.51</x:v>
      </x:c>
      <x:c r="AG8" t="n">
        <x:v>15</x:v>
      </x:c>
      <x:c r="AH8" t="n">
        <x:v>3</x:v>
      </x:c>
      <x:c r="AI8" t="n">
        <x:v>20.0</x:v>
      </x:c>
      <x:c r="AJ8" t="n">
        <x:v>9.0</x:v>
      </x:c>
      <x:c r="AK8" t="n">
        <x:v>2.0</x:v>
      </x:c>
      <x:c r="AL8" t="n">
        <x:v>22.22</x:v>
      </x:c>
      <x:c r="AM8" t="n">
        <x:v>10.0</x:v>
      </x:c>
      <x:c r="AN8" t="n">
        <x:v>1.0</x:v>
      </x:c>
      <x:c r="AO8" t="n">
        <x:v>10.0</x:v>
      </x:c>
      <x:c r="AP8" t="n">
        <x:v>2.0</x:v>
      </x:c>
      <x:c r="AQ8" t="n">
        <x:v>6.0</x:v>
      </x:c>
      <x:c r="AR8" t="n">
        <x:v>12.0</x:v>
      </x:c>
      <x:c r="AS8" t="n">
        <x:v>82.0</x:v>
      </x:c>
      <x:c r="AT8" t="n">
        <x:v>25.0</x:v>
      </x:c>
      <x:c r="AU8" t="n">
        <x:v>30.49</x:v>
      </x:c>
      <x:c r="AV8" t="n">
        <x:v>0.0</x:v>
      </x:c>
      <x:c r="AW8" t="n">
        <x:v>8.0</x:v>
      </x:c>
      <x:c r="AX8" t="n">
        <x:v>6.0</x:v>
      </x:c>
      <x:c r="AY8" t="n">
        <x:v>75.0</x:v>
      </x:c>
      <x:c r="AZ8" t="n">
        <x:v>110.0</x:v>
      </x:c>
      <x:c r="BA8" t="n">
        <x:v>85.0</x:v>
      </x:c>
      <x:c r="BB8" t="n">
        <x:v>77.27</x:v>
      </x:c>
      <x:c r="BC8" t="n">
        <x:v>19.0</x:v>
      </x:c>
      <x:c r="BD8" t="n">
        <x:v>9.0</x:v>
      </x:c>
      <x:c r="BE8" t="n">
        <x:v>47.37</x:v>
      </x:c>
      <x:c r="BF8" t="n">
        <x:v>3.0</x:v>
      </x:c>
      <x:c r="BG8" t="n">
        <x:v>1.0</x:v>
      </x:c>
      <x:c r="BH8" t="n">
        <x:v>33.33</x:v>
      </x:c>
      <x:c r="BI8" t="n">
        <x:v>62.0</x:v>
      </x:c>
      <x:c r="BJ8" t="n">
        <x:v>14.0</x:v>
      </x:c>
      <x:c r="BK8" t="n">
        <x:v>7.0</x:v>
      </x:c>
      <x:c r="BL8" t="n">
        <x:v>0.0</x:v>
      </x:c>
      <x:c r="BM8" t="n">
        <x:v>0.0</x:v>
      </x:c>
      <x:c r="BN8" t="n">
        <x:v>200.0</x:v>
      </x:c>
      <x:c r="BO8" t="n">
        <x:v>123.0</x:v>
      </x:c>
      <x:c r="BP8" t="n">
        <x:v>61.5</x:v>
      </x:c>
      <x:c r="BQ8" t="n">
        <x:v>59.0</x:v>
      </x:c>
      <x:c r="BR8" t="n">
        <x:v>23.0</x:v>
      </x:c>
      <x:c r="BS8" t="n">
        <x:v>38.98</x:v>
      </x:c>
      <x:c r="BT8" t="n">
        <x:v>73.0</x:v>
      </x:c>
      <x:c r="BU8" t="n">
        <x:v>38.0</x:v>
      </x:c>
      <x:c r="BV8" t="n">
        <x:v>52.05</x:v>
      </x:c>
      <x:c r="BW8" t="n">
        <x:v>79.0</x:v>
      </x:c>
      <x:c r="BX8" t="n">
        <x:v>47.0</x:v>
      </x:c>
      <x:c r="BY8" t="n">
        <x:v>59.49</x:v>
      </x:c>
      <x:c r="BZ8" t="n">
        <x:v>44.0</x:v>
      </x:c>
      <x:c r="CA8" t="n">
        <x:v>29.0</x:v>
      </x:c>
      <x:c r="CB8" t="n">
        <x:v>65.91</x:v>
      </x:c>
      <x:c r="CC8" t="n">
        <x:v>3.74</x:v>
      </x:c>
    </x:row>
    <x:row r="9" ht="12" customHeight="1">
      <x:c r="A9" t="inlineStr">
        <x:is>
          <x:t xml:space="preserve">2026-05-16</x:t>
        </x:is>
      </x:c>
      <x:c r="B9" t="inlineStr">
        <x:is>
          <x:t xml:space="preserve">West NTC - Perth 0:1</x:t>
        </x:is>
      </x:c>
      <x:c r="C9" t="inlineStr">
        <x:is>
          <x:t xml:space="preserve">Australia. Western Australia NPL Women</x:t>
        </x:is>
      </x:c>
      <x:c r="D9" t="n">
        <x:v>93</x:v>
      </x:c>
      <x:c r="E9" t="inlineStr">
        <x:is>
          <x:t xml:space="preserve">West NTC</x:t>
        </x:is>
      </x:c>
      <x:c r="F9" t="inlineStr">
        <x:is>
          <x:t xml:space="preserve">4-4-2 (100.0%)</x:t>
        </x:is>
      </x:c>
      <x:c r="G9" t="n">
        <x:v>0</x:v>
      </x:c>
      <x:c r="H9" t="n">
        <x:v>0.38</x:v>
      </x:c>
      <x:c r="I9" t="n">
        <x:v>8.0</x:v>
      </x:c>
      <x:c r="J9" t="n">
        <x:v>4.0</x:v>
      </x:c>
      <x:c r="K9" t="n">
        <x:v>50.0</x:v>
      </x:c>
      <x:c r="L9" t="n">
        <x:v>311.0</x:v>
      </x:c>
      <x:c r="M9" t="n">
        <x:v>188.0</x:v>
      </x:c>
      <x:c r="N9" t="n">
        <x:v>60.45</x:v>
      </x:c>
      <x:c r="O9" t="n">
        <x:v>35.87</x:v>
      </x:c>
      <x:c r="P9" t="n">
        <x:v>183.0</x:v>
      </x:c>
      <x:c r="Q9" t="n">
        <x:v>34.0</x:v>
      </x:c>
      <x:c r="R9" t="n">
        <x:v>95.0</x:v>
      </x:c>
      <x:c r="S9" t="n">
        <x:v>54.0</x:v>
      </x:c>
      <x:c r="T9" t="n">
        <x:v>102.0</x:v>
      </x:c>
      <x:c r="U9" t="n">
        <x:v>50.0</x:v>
      </x:c>
      <x:c r="V9" t="n">
        <x:v>40.0</x:v>
      </x:c>
      <x:c r="W9" t="n">
        <x:v>12.0</x:v>
      </x:c>
      <x:c r="X9" t="n">
        <x:v>221.0</x:v>
      </x:c>
      <x:c r="Y9" t="n">
        <x:v>93.0</x:v>
      </x:c>
      <x:c r="Z9" t="n">
        <x:v>42.08</x:v>
      </x:c>
      <x:c r="AA9" t="n">
        <x:v>5.0</x:v>
      </x:c>
      <x:c r="AB9" t="n">
        <x:v>2.0</x:v>
      </x:c>
      <x:c r="AC9" t="n">
        <x:v>40.0</x:v>
      </x:c>
      <x:c r="AD9" t="n">
        <x:v>23</x:v>
      </x:c>
      <x:c r="AE9" t="n">
        <x:v>6</x:v>
      </x:c>
      <x:c r="AF9" t="n">
        <x:v>26.09</x:v>
      </x:c>
      <x:c r="AG9" t="n">
        <x:v>22</x:v>
      </x:c>
      <x:c r="AH9" t="n">
        <x:v>1</x:v>
      </x:c>
      <x:c r="AI9" t="n">
        <x:v>4.55</x:v>
      </x:c>
      <x:c r="AJ9" t="n">
        <x:v>3.0</x:v>
      </x:c>
      <x:c r="AK9" t="n">
        <x:v>0.0</x:v>
      </x:c>
      <x:c r="AL9" t="n">
        <x:v>0.0</x:v>
      </x:c>
      <x:c r="AM9" t="n">
        <x:v>6.0</x:v>
      </x:c>
      <x:c r="AN9" t="n">
        <x:v>1.0</x:v>
      </x:c>
      <x:c r="AO9" t="n">
        <x:v>16.67</x:v>
      </x:c>
      <x:c r="AP9" t="n">
        <x:v>1.0</x:v>
      </x:c>
      <x:c r="AQ9" t="n">
        <x:v>1.0</x:v>
      </x:c>
      <x:c r="AR9" t="n">
        <x:v>7.0</x:v>
      </x:c>
      <x:c r="AS9" t="n">
        <x:v>110.0</x:v>
      </x:c>
      <x:c r="AT9" t="n">
        <x:v>25.0</x:v>
      </x:c>
      <x:c r="AU9" t="n">
        <x:v>22.73</x:v>
      </x:c>
      <x:c r="AV9" t="n">
        <x:v>1.0</x:v>
      </x:c>
      <x:c r="AW9" t="n">
        <x:v>12.0</x:v>
      </x:c>
      <x:c r="AX9" t="n">
        <x:v>6.0</x:v>
      </x:c>
      <x:c r="AY9" t="n">
        <x:v>50.0</x:v>
      </x:c>
      <x:c r="AZ9" t="n">
        <x:v>82.0</x:v>
      </x:c>
      <x:c r="BA9" t="n">
        <x:v>57.0</x:v>
      </x:c>
      <x:c r="BB9" t="n">
        <x:v>69.51</x:v>
      </x:c>
      <x:c r="BC9" t="n">
        <x:v>19.0</x:v>
      </x:c>
      <x:c r="BD9" t="n">
        <x:v>8.0</x:v>
      </x:c>
      <x:c r="BE9" t="n">
        <x:v>42.11</x:v>
      </x:c>
      <x:c r="BF9" t="n">
        <x:v>0.0</x:v>
      </x:c>
      <x:c r="BG9" t="n">
        <x:v>0.0</x:v>
      </x:c>
      <x:c r="BH9" t="n">
        <x:v>0</x:v>
      </x:c>
      <x:c r="BI9" t="n">
        <x:v>62.0</x:v>
      </x:c>
      <x:c r="BJ9" t="n">
        <x:v>16.0</x:v>
      </x:c>
      <x:c r="BK9" t="n">
        <x:v>3.0</x:v>
      </x:c>
      <x:c r="BL9" t="n">
        <x:v>0.0</x:v>
      </x:c>
      <x:c r="BM9" t="n">
        <x:v>0.0</x:v>
      </x:c>
      <x:c r="BN9" t="n">
        <x:v>133.0</x:v>
      </x:c>
      <x:c r="BO9" t="n">
        <x:v>60.0</x:v>
      </x:c>
      <x:c r="BP9" t="n">
        <x:v>45.11</x:v>
      </x:c>
      <x:c r="BQ9" t="n">
        <x:v>49.0</x:v>
      </x:c>
      <x:c r="BR9" t="n">
        <x:v>16.0</x:v>
      </x:c>
      <x:c r="BS9" t="n">
        <x:v>32.65</x:v>
      </x:c>
      <x:c r="BT9" t="n">
        <x:v>37.0</x:v>
      </x:c>
      <x:c r="BU9" t="n">
        <x:v>16.0</x:v>
      </x:c>
      <x:c r="BV9" t="n">
        <x:v>43.24</x:v>
      </x:c>
      <x:c r="BW9" t="n">
        <x:v>74.0</x:v>
      </x:c>
      <x:c r="BX9" t="n">
        <x:v>21.0</x:v>
      </x:c>
      <x:c r="BY9" t="n">
        <x:v>28.38</x:v>
      </x:c>
      <x:c r="BZ9" t="n">
        <x:v>51.0</x:v>
      </x:c>
      <x:c r="CA9" t="n">
        <x:v>30.0</x:v>
      </x:c>
      <x:c r="CB9" t="n">
        <x:v>58.82</x:v>
      </x:c>
      <x:c r="CC9" t="n">
        <x:v>18.32</x:v>
      </x:c>
    </x:row>
    <x:row r="10" ht="12" customHeight="1">
      <x:c r="A10" t="inlineStr">
        <x:is>
          <x:t xml:space="preserve">2026-05-02</x:t>
        </x:is>
      </x:c>
      <x:c r="B10" t="inlineStr">
        <x:is>
          <x:t xml:space="preserve">Perth - Perth RedStar 1:1</x:t>
        </x:is>
      </x:c>
      <x:c r="C10" t="inlineStr">
        <x:is>
          <x:t xml:space="preserve">Australia. Western Australia NPL Women</x:t>
        </x:is>
      </x:c>
      <x:c r="D10" t="n">
        <x:v>96</x:v>
      </x:c>
      <x:c r="E10" t="inlineStr">
        <x:is>
          <x:t xml:space="preserve">Perth</x:t>
        </x:is>
      </x:c>
      <x:c r="F10" t="inlineStr">
        <x:is>
          <x:t xml:space="preserve">4-1-4-1 (100.0%)</x:t>
        </x:is>
      </x:c>
      <x:c r="G10" t="n">
        <x:v>1</x:v>
      </x:c>
      <x:c r="H10" t="n">
        <x:v>1.38</x:v>
      </x:c>
      <x:c r="I10" t="n">
        <x:v>11.0</x:v>
      </x:c>
      <x:c r="J10" t="n">
        <x:v>6.0</x:v>
      </x:c>
      <x:c r="K10" t="n">
        <x:v>54.55</x:v>
      </x:c>
      <x:c r="L10" t="n">
        <x:v>386.0</x:v>
      </x:c>
      <x:c r="M10" t="n">
        <x:v>280.0</x:v>
      </x:c>
      <x:c r="N10" t="n">
        <x:v>72.54</x:v>
      </x:c>
      <x:c r="O10" t="n">
        <x:v>45.86</x:v>
      </x:c>
      <x:c r="P10" t="n">
        <x:v>155.0</x:v>
      </x:c>
      <x:c r="Q10" t="n">
        <x:v>19.0</x:v>
      </x:c>
      <x:c r="R10" t="n">
        <x:v>60.0</x:v>
      </x:c>
      <x:c r="S10" t="n">
        <x:v>76.0</x:v>
      </x:c>
      <x:c r="T10" t="n">
        <x:v>120.0</x:v>
      </x:c>
      <x:c r="U10" t="n">
        <x:v>47.0</x:v>
      </x:c>
      <x:c r="V10" t="n">
        <x:v>63.0</x:v>
      </x:c>
      <x:c r="W10" t="n">
        <x:v>10.0</x:v>
      </x:c>
      <x:c r="X10" t="n">
        <x:v>259.0</x:v>
      </x:c>
      <x:c r="Y10" t="n">
        <x:v>141.0</x:v>
      </x:c>
      <x:c r="Z10" t="n">
        <x:v>54.44</x:v>
      </x:c>
      <x:c r="AA10" t="n">
        <x:v>4.0</x:v>
      </x:c>
      <x:c r="AB10" t="n">
        <x:v>2.0</x:v>
      </x:c>
      <x:c r="AC10" t="n">
        <x:v>50.0</x:v>
      </x:c>
      <x:c r="AD10" t="n">
        <x:v>27</x:v>
      </x:c>
      <x:c r="AE10" t="n">
        <x:v>7</x:v>
      </x:c>
      <x:c r="AF10" t="n">
        <x:v>25.93</x:v>
      </x:c>
      <x:c r="AG10" t="n">
        <x:v>19</x:v>
      </x:c>
      <x:c r="AH10" t="n">
        <x:v>3</x:v>
      </x:c>
      <x:c r="AI10" t="n">
        <x:v>15.79</x:v>
      </x:c>
      <x:c r="AJ10" t="n">
        <x:v>6.0</x:v>
      </x:c>
      <x:c r="AK10" t="n">
        <x:v>1.0</x:v>
      </x:c>
      <x:c r="AL10" t="n">
        <x:v>16.67</x:v>
      </x:c>
      <x:c r="AM10" t="n">
        <x:v>15.0</x:v>
      </x:c>
      <x:c r="AN10" t="n">
        <x:v>5.0</x:v>
      </x:c>
      <x:c r="AO10" t="n">
        <x:v>33.33</x:v>
      </x:c>
      <x:c r="AP10" t="n">
        <x:v>4.0</x:v>
      </x:c>
      <x:c r="AQ10" t="n">
        <x:v>5.0</x:v>
      </x:c>
      <x:c r="AR10" t="n">
        <x:v>18.0</x:v>
      </x:c>
      <x:c r="AS10" t="n">
        <x:v>76.0</x:v>
      </x:c>
      <x:c r="AT10" t="n">
        <x:v>18.0</x:v>
      </x:c>
      <x:c r="AU10" t="n">
        <x:v>23.68</x:v>
      </x:c>
      <x:c r="AV10" t="n">
        <x:v>1.0</x:v>
      </x:c>
      <x:c r="AW10" t="n">
        <x:v>6.0</x:v>
      </x:c>
      <x:c r="AX10" t="n">
        <x:v>1.0</x:v>
      </x:c>
      <x:c r="AY10" t="n">
        <x:v>16.67</x:v>
      </x:c>
      <x:c r="AZ10" t="n">
        <x:v>129.0</x:v>
      </x:c>
      <x:c r="BA10" t="n">
        <x:v>102.0</x:v>
      </x:c>
      <x:c r="BB10" t="n">
        <x:v>79.07</x:v>
      </x:c>
      <x:c r="BC10" t="n">
        <x:v>33.0</x:v>
      </x:c>
      <x:c r="BD10" t="n">
        <x:v>11.0</x:v>
      </x:c>
      <x:c r="BE10" t="n">
        <x:v>33.33</x:v>
      </x:c>
      <x:c r="BF10" t="n">
        <x:v>1.0</x:v>
      </x:c>
      <x:c r="BG10" t="n">
        <x:v>1.0</x:v>
      </x:c>
      <x:c r="BH10" t="n">
        <x:v>100.0</x:v>
      </x:c>
      <x:c r="BI10" t="n">
        <x:v>51.0</x:v>
      </x:c>
      <x:c r="BJ10" t="n">
        <x:v>32.0</x:v>
      </x:c>
      <x:c r="BK10" t="n">
        <x:v>8.0</x:v>
      </x:c>
      <x:c r="BL10" t="n">
        <x:v>1.0</x:v>
      </x:c>
      <x:c r="BM10" t="n">
        <x:v>0.0</x:v>
      </x:c>
      <x:c r="BN10" t="n">
        <x:v>161.0</x:v>
      </x:c>
      <x:c r="BO10" t="n">
        <x:v>105.0</x:v>
      </x:c>
      <x:c r="BP10" t="n">
        <x:v>65.22</x:v>
      </x:c>
      <x:c r="BQ10" t="n">
        <x:v>65.0</x:v>
      </x:c>
      <x:c r="BR10" t="n">
        <x:v>27.0</x:v>
      </x:c>
      <x:c r="BS10" t="n">
        <x:v>41.54</x:v>
      </x:c>
      <x:c r="BT10" t="n">
        <x:v>61.0</x:v>
      </x:c>
      <x:c r="BU10" t="n">
        <x:v>32.0</x:v>
      </x:c>
      <x:c r="BV10" t="n">
        <x:v>52.46</x:v>
      </x:c>
      <x:c r="BW10" t="n">
        <x:v>81.0</x:v>
      </x:c>
      <x:c r="BX10" t="n">
        <x:v>53.0</x:v>
      </x:c>
      <x:c r="BY10" t="n">
        <x:v>65.43</x:v>
      </x:c>
      <x:c r="BZ10" t="n">
        <x:v>26.0</x:v>
      </x:c>
      <x:c r="CA10" t="n">
        <x:v>17.0</x:v>
      </x:c>
      <x:c r="CB10" t="n">
        <x:v>65.38</x:v>
      </x:c>
      <x:c r="CC10" t="n">
        <x:v>7.16</x:v>
      </x:c>
    </x:row>
    <x:row r="11" ht="12" customHeight="1">
      <x:c r="A11" t="inlineStr">
        <x:is>
          <x:t xml:space="preserve">2026-05-02</x:t>
        </x:is>
      </x:c>
      <x:c r="B11" t="inlineStr">
        <x:is>
          <x:t xml:space="preserve">Perth - Perth RedStar 1:1</x:t>
        </x:is>
      </x:c>
      <x:c r="C11" t="inlineStr">
        <x:is>
          <x:t xml:space="preserve">Australia. Western Australia NPL Women</x:t>
        </x:is>
      </x:c>
      <x:c r="D11" t="n">
        <x:v>96</x:v>
      </x:c>
      <x:c r="E11" t="inlineStr">
        <x:is>
          <x:t xml:space="preserve">Perth RedStar</x:t>
        </x:is>
      </x:c>
      <x:c r="F11" t="inlineStr">
        <x:is>
          <x:t xml:space="preserve">4-4-2 (100.0%)</x:t>
        </x:is>
      </x:c>
      <x:c r="G11" t="n">
        <x:v>1</x:v>
      </x:c>
      <x:c r="H11" t="n">
        <x:v>0.6</x:v>
      </x:c>
      <x:c r="I11" t="n">
        <x:v>6.0</x:v>
      </x:c>
      <x:c r="J11" t="n">
        <x:v>1.0</x:v>
      </x:c>
      <x:c r="K11" t="n">
        <x:v>16.67</x:v>
      </x:c>
      <x:c r="L11" t="n">
        <x:v>420.0</x:v>
      </x:c>
      <x:c r="M11" t="n">
        <x:v>315.0</x:v>
      </x:c>
      <x:c r="N11" t="n">
        <x:v>75.0</x:v>
      </x:c>
      <x:c r="O11" t="n">
        <x:v>54.14</x:v>
      </x:c>
      <x:c r="P11" t="n">
        <x:v>157.0</x:v>
      </x:c>
      <x:c r="Q11" t="n">
        <x:v>21.0</x:v>
      </x:c>
      <x:c r="R11" t="n">
        <x:v>68.0</x:v>
      </x:c>
      <x:c r="S11" t="n">
        <x:v>68.0</x:v>
      </x:c>
      <x:c r="T11" t="n">
        <x:v>105.0</x:v>
      </x:c>
      <x:c r="U11" t="n">
        <x:v>44.0</x:v>
      </x:c>
      <x:c r="V11" t="n">
        <x:v>46.0</x:v>
      </x:c>
      <x:c r="W11" t="n">
        <x:v>15.0</x:v>
      </x:c>
      <x:c r="X11" t="n">
        <x:v>259.0</x:v>
      </x:c>
      <x:c r="Y11" t="n">
        <x:v>116.0</x:v>
      </x:c>
      <x:c r="Z11" t="n">
        <x:v>44.79</x:v>
      </x:c>
      <x:c r="AA11" t="n">
        <x:v>3.0</x:v>
      </x:c>
      <x:c r="AB11" t="n">
        <x:v>0.0</x:v>
      </x:c>
      <x:c r="AC11" t="n">
        <x:v>0.0</x:v>
      </x:c>
      <x:c r="AD11" t="n">
        <x:v>30</x:v>
      </x:c>
      <x:c r="AE11" t="n">
        <x:v>3</x:v>
      </x:c>
      <x:c r="AF11" t="n">
        <x:v>10.0</x:v>
      </x:c>
      <x:c r="AG11" t="n">
        <x:v>21</x:v>
      </x:c>
      <x:c r="AH11" t="n">
        <x:v>2</x:v>
      </x:c>
      <x:c r="AI11" t="n">
        <x:v>9.52</x:v>
      </x:c>
      <x:c r="AJ11" t="n">
        <x:v>5.0</x:v>
      </x:c>
      <x:c r="AK11" t="n">
        <x:v>1.0</x:v>
      </x:c>
      <x:c r="AL11" t="n">
        <x:v>20.0</x:v>
      </x:c>
      <x:c r="AM11" t="n">
        <x:v>10.0</x:v>
      </x:c>
      <x:c r="AN11" t="n">
        <x:v>2.0</x:v>
      </x:c>
      <x:c r="AO11" t="n">
        <x:v>20.0</x:v>
      </x:c>
      <x:c r="AP11" t="n">
        <x:v>1.0</x:v>
      </x:c>
      <x:c r="AQ11" t="n">
        <x:v>5.0</x:v>
      </x:c>
      <x:c r="AR11" t="n">
        <x:v>7.0</x:v>
      </x:c>
      <x:c r="AS11" t="n">
        <x:v>129.0</x:v>
      </x:c>
      <x:c r="AT11" t="n">
        <x:v>27.0</x:v>
      </x:c>
      <x:c r="AU11" t="n">
        <x:v>20.93</x:v>
      </x:c>
      <x:c r="AV11" t="n">
        <x:v>1.0</x:v>
      </x:c>
      <x:c r="AW11" t="n">
        <x:v>11.0</x:v>
      </x:c>
      <x:c r="AX11" t="n">
        <x:v>6.0</x:v>
      </x:c>
      <x:c r="AY11" t="n">
        <x:v>54.55</x:v>
      </x:c>
      <x:c r="AZ11" t="n">
        <x:v>76.0</x:v>
      </x:c>
      <x:c r="BA11" t="n">
        <x:v>58.0</x:v>
      </x:c>
      <x:c r="BB11" t="n">
        <x:v>76.32</x:v>
      </x:c>
      <x:c r="BC11" t="n">
        <x:v>33.0</x:v>
      </x:c>
      <x:c r="BD11" t="n">
        <x:v>21.0</x:v>
      </x:c>
      <x:c r="BE11" t="n">
        <x:v>63.64</x:v>
      </x:c>
      <x:c r="BF11" t="n">
        <x:v>7.0</x:v>
      </x:c>
      <x:c r="BG11" t="n">
        <x:v>5.0</x:v>
      </x:c>
      <x:c r="BH11" t="n">
        <x:v>71.43</x:v>
      </x:c>
      <x:c r="BI11" t="n">
        <x:v>48.0</x:v>
      </x:c>
      <x:c r="BJ11" t="n">
        <x:v>23.0</x:v>
      </x:c>
      <x:c r="BK11" t="n">
        <x:v>5.0</x:v>
      </x:c>
      <x:c r="BL11" t="n">
        <x:v>1.0</x:v>
      </x:c>
      <x:c r="BM11" t="n">
        <x:v>0.0</x:v>
      </x:c>
      <x:c r="BN11" t="n">
        <x:v>155.0</x:v>
      </x:c>
      <x:c r="BO11" t="n">
        <x:v>97.0</x:v>
      </x:c>
      <x:c r="BP11" t="n">
        <x:v>62.58</x:v>
      </x:c>
      <x:c r="BQ11" t="n">
        <x:v>51.0</x:v>
      </x:c>
      <x:c r="BR11" t="n">
        <x:v>20.0</x:v>
      </x:c>
      <x:c r="BS11" t="n">
        <x:v>39.22</x:v>
      </x:c>
      <x:c r="BT11" t="n">
        <x:v>58.0</x:v>
      </x:c>
      <x:c r="BU11" t="n">
        <x:v>31.0</x:v>
      </x:c>
      <x:c r="BV11" t="n">
        <x:v>53.45</x:v>
      </x:c>
      <x:c r="BW11" t="n">
        <x:v>81.0</x:v>
      </x:c>
      <x:c r="BX11" t="n">
        <x:v>50.0</x:v>
      </x:c>
      <x:c r="BY11" t="n">
        <x:v>61.73</x:v>
      </x:c>
      <x:c r="BZ11" t="n">
        <x:v>35.0</x:v>
      </x:c>
      <x:c r="CA11" t="n">
        <x:v>29.0</x:v>
      </x:c>
      <x:c r="CB11" t="n">
        <x:v>82.86</x:v>
      </x:c>
      <x:c r="CC11" t="n">
        <x:v>7.69</x:v>
      </x:c>
    </x:row>
    <x:row r="12" ht="12" customHeight="1">
      <x:c r="A12" t="inlineStr">
        <x:is>
          <x:t xml:space="preserve">2026-04-26</x:t>
        </x:is>
      </x:c>
      <x:c r="B12" t="inlineStr">
        <x:is>
          <x:t xml:space="preserve">UWA Nedlands - Perth 1:3</x:t>
        </x:is>
      </x:c>
      <x:c r="C12" t="inlineStr">
        <x:is>
          <x:t xml:space="preserve">Australia. Western Australia NPL Women</x:t>
        </x:is>
      </x:c>
      <x:c r="D12" t="n">
        <x:v>93</x:v>
      </x:c>
      <x:c r="E12" t="inlineStr">
        <x:is>
          <x:t xml:space="preserve">Perth</x:t>
        </x:is>
      </x:c>
      <x:c r="F12" t="inlineStr">
        <x:is>
          <x:t xml:space="preserve">4-3-3 (100.0%)</x:t>
        </x:is>
      </x:c>
      <x:c r="G12" t="n">
        <x:v>3</x:v>
      </x:c>
      <x:c r="H12" t="n">
        <x:v>1.68</x:v>
      </x:c>
      <x:c r="I12" t="n">
        <x:v>17.0</x:v>
      </x:c>
      <x:c r="J12" t="n">
        <x:v>8.0</x:v>
      </x:c>
      <x:c r="K12" t="n">
        <x:v>47.06</x:v>
      </x:c>
      <x:c r="L12" t="n">
        <x:v>366.0</x:v>
      </x:c>
      <x:c r="M12" t="n">
        <x:v>250.0</x:v>
      </x:c>
      <x:c r="N12" t="n">
        <x:v>68.31</x:v>
      </x:c>
      <x:c r="O12" t="n">
        <x:v>52.0</x:v>
      </x:c>
      <x:c r="P12" t="n">
        <x:v>113.0</x:v>
      </x:c>
      <x:c r="Q12" t="n">
        <x:v>10.0</x:v>
      </x:c>
      <x:c r="R12" t="n">
        <x:v>41.0</x:v>
      </x:c>
      <x:c r="S12" t="n">
        <x:v>62.0</x:v>
      </x:c>
      <x:c r="T12" t="n">
        <x:v>92.0</x:v>
      </x:c>
      <x:c r="U12" t="n">
        <x:v>29.0</x:v>
      </x:c>
      <x:c r="V12" t="n">
        <x:v>39.0</x:v>
      </x:c>
      <x:c r="W12" t="n">
        <x:v>24.0</x:v>
      </x:c>
      <x:c r="X12" t="n">
        <x:v>203.0</x:v>
      </x:c>
      <x:c r="Y12" t="n">
        <x:v>106.0</x:v>
      </x:c>
      <x:c r="Z12" t="n">
        <x:v>52.22</x:v>
      </x:c>
      <x:c r="AA12" t="n">
        <x:v>7.0</x:v>
      </x:c>
      <x:c r="AB12" t="n">
        <x:v>3.0</x:v>
      </x:c>
      <x:c r="AC12" t="n">
        <x:v>42.86</x:v>
      </x:c>
      <x:c r="AD12" t="n">
        <x:v>50</x:v>
      </x:c>
      <x:c r="AE12" t="n">
        <x:v>13</x:v>
      </x:c>
      <x:c r="AF12" t="n">
        <x:v>26.0</x:v>
      </x:c>
      <x:c r="AG12" t="n">
        <x:v>20</x:v>
      </x:c>
      <x:c r="AH12" t="n">
        <x:v>4</x:v>
      </x:c>
      <x:c r="AI12" t="n">
        <x:v>20.0</x:v>
      </x:c>
      <x:c r="AJ12" t="n">
        <x:v>11.0</x:v>
      </x:c>
      <x:c r="AK12" t="n">
        <x:v>3.0</x:v>
      </x:c>
      <x:c r="AL12" t="n">
        <x:v>27.27</x:v>
      </x:c>
      <x:c r="AM12" t="n">
        <x:v>29.0</x:v>
      </x:c>
      <x:c r="AN12" t="n">
        <x:v>9.0</x:v>
      </x:c>
      <x:c r="AO12" t="n">
        <x:v>31.03</x:v>
      </x:c>
      <x:c r="AP12" t="n">
        <x:v>11.0</x:v>
      </x:c>
      <x:c r="AQ12" t="n">
        <x:v>6.0</x:v>
      </x:c>
      <x:c r="AR12" t="n">
        <x:v>28.0</x:v>
      </x:c>
      <x:c r="AS12" t="n">
        <x:v>73.0</x:v>
      </x:c>
      <x:c r="AT12" t="n">
        <x:v>27.0</x:v>
      </x:c>
      <x:c r="AU12" t="n">
        <x:v>36.99</x:v>
      </x:c>
      <x:c r="AV12" t="n">
        <x:v>1.0</x:v>
      </x:c>
      <x:c r="AW12" t="n">
        <x:v>4.0</x:v>
      </x:c>
      <x:c r="AX12" t="n">
        <x:v>4.0</x:v>
      </x:c>
      <x:c r="AY12" t="n">
        <x:v>100.0</x:v>
      </x:c>
      <x:c r="AZ12" t="n">
        <x:v>80.0</x:v>
      </x:c>
      <x:c r="BA12" t="n">
        <x:v>58.0</x:v>
      </x:c>
      <x:c r="BB12" t="n">
        <x:v>72.5</x:v>
      </x:c>
      <x:c r="BC12" t="n">
        <x:v>19.0</x:v>
      </x:c>
      <x:c r="BD12" t="n">
        <x:v>10.0</x:v>
      </x:c>
      <x:c r="BE12" t="n">
        <x:v>52.63</x:v>
      </x:c>
      <x:c r="BF12" t="n">
        <x:v>1.0</x:v>
      </x:c>
      <x:c r="BG12" t="n">
        <x:v>0.0</x:v>
      </x:c>
      <x:c r="BH12" t="n">
        <x:v>0.0</x:v>
      </x:c>
      <x:c r="BI12" t="n">
        <x:v>30.0</x:v>
      </x:c>
      <x:c r="BJ12" t="n">
        <x:v>16.0</x:v>
      </x:c>
      <x:c r="BK12" t="n">
        <x:v>6.0</x:v>
      </x:c>
      <x:c r="BL12" t="n">
        <x:v>0.0</x:v>
      </x:c>
      <x:c r="BM12" t="n">
        <x:v>0.0</x:v>
      </x:c>
      <x:c r="BN12" t="n">
        <x:v>149.0</x:v>
      </x:c>
      <x:c r="BO12" t="n">
        <x:v>88.0</x:v>
      </x:c>
      <x:c r="BP12" t="n">
        <x:v>59.06</x:v>
      </x:c>
      <x:c r="BQ12" t="n">
        <x:v>53.0</x:v>
      </x:c>
      <x:c r="BR12" t="n">
        <x:v>23.0</x:v>
      </x:c>
      <x:c r="BS12" t="n">
        <x:v>43.4</x:v>
      </x:c>
      <x:c r="BT12" t="n">
        <x:v>56.0</x:v>
      </x:c>
      <x:c r="BU12" t="n">
        <x:v>29.0</x:v>
      </x:c>
      <x:c r="BV12" t="n">
        <x:v>51.79</x:v>
      </x:c>
      <x:c r="BW12" t="n">
        <x:v>84.0</x:v>
      </x:c>
      <x:c r="BX12" t="n">
        <x:v>51.0</x:v>
      </x:c>
      <x:c r="BY12" t="n">
        <x:v>60.71</x:v>
      </x:c>
      <x:c r="BZ12" t="n">
        <x:v>41.0</x:v>
      </x:c>
      <x:c r="CA12" t="n">
        <x:v>36.0</x:v>
      </x:c>
      <x:c r="CB12" t="n">
        <x:v>87.8</x:v>
      </x:c>
      <x:c r="CC12" t="n">
        <x:v>6.2</x:v>
      </x:c>
    </x:row>
    <x:row r="13" ht="12" customHeight="1">
      <x:c r="A13" t="inlineStr">
        <x:is>
          <x:t xml:space="preserve">2026-04-26</x:t>
        </x:is>
      </x:c>
      <x:c r="B13" t="inlineStr">
        <x:is>
          <x:t xml:space="preserve">UWA Nedlands - Perth 1:3</x:t>
        </x:is>
      </x:c>
      <x:c r="C13" t="inlineStr">
        <x:is>
          <x:t xml:space="preserve">Australia. Western Australia NPL Women</x:t>
        </x:is>
      </x:c>
      <x:c r="D13" t="n">
        <x:v>93</x:v>
      </x:c>
      <x:c r="E13" t="inlineStr">
        <x:is>
          <x:t xml:space="preserve">UWA Nedlands</x:t>
        </x:is>
      </x:c>
      <x:c r="F13" t="inlineStr">
        <x:is>
          <x:t xml:space="preserve">4-2-3-1 (100.0%)</x:t>
        </x:is>
      </x:c>
      <x:c r="G13" t="n">
        <x:v>1</x:v>
      </x:c>
      <x:c r="H13" t="n">
        <x:v>0.23</x:v>
      </x:c>
      <x:c r="I13" t="n">
        <x:v>4.0</x:v>
      </x:c>
      <x:c r="J13" t="n">
        <x:v>4.0</x:v>
      </x:c>
      <x:c r="K13" t="n">
        <x:v>100.0</x:v>
      </x:c>
      <x:c r="L13" t="n">
        <x:v>281.0</x:v>
      </x:c>
      <x:c r="M13" t="n">
        <x:v>185.0</x:v>
      </x:c>
      <x:c r="N13" t="n">
        <x:v>65.84</x:v>
      </x:c>
      <x:c r="O13" t="n">
        <x:v>48.0</x:v>
      </x:c>
      <x:c r="P13" t="n">
        <x:v>150.0</x:v>
      </x:c>
      <x:c r="Q13" t="n">
        <x:v>33.0</x:v>
      </x:c>
      <x:c r="R13" t="n">
        <x:v>67.0</x:v>
      </x:c>
      <x:c r="S13" t="n">
        <x:v>50.0</x:v>
      </x:c>
      <x:c r="T13" t="n">
        <x:v>75.0</x:v>
      </x:c>
      <x:c r="U13" t="n">
        <x:v>40.0</x:v>
      </x:c>
      <x:c r="V13" t="n">
        <x:v>31.0</x:v>
      </x:c>
      <x:c r="W13" t="n">
        <x:v>4.0</x:v>
      </x:c>
      <x:c r="X13" t="n">
        <x:v>203.0</x:v>
      </x:c>
      <x:c r="Y13" t="n">
        <x:v>93.0</x:v>
      </x:c>
      <x:c r="Z13" t="n">
        <x:v>45.81</x:v>
      </x:c>
      <x:c r="AA13" t="n">
        <x:v>3.0</x:v>
      </x:c>
      <x:c r="AB13" t="n">
        <x:v>3.0</x:v>
      </x:c>
      <x:c r="AC13" t="n">
        <x:v>100.0</x:v>
      </x:c>
      <x:c r="AD13" t="n">
        <x:v>19</x:v>
      </x:c>
      <x:c r="AE13" t="n">
        <x:v>1</x:v>
      </x:c>
      <x:c r="AF13" t="n">
        <x:v>5.26</x:v>
      </x:c>
      <x:c r="AG13" t="n">
        <x:v>32</x:v>
      </x:c>
      <x:c r="AH13" t="n">
        <x:v>2</x:v>
      </x:c>
      <x:c r="AI13" t="n">
        <x:v>6.25</x:v>
      </x:c>
      <x:c r="AJ13" t="n">
        <x:v>3.0</x:v>
      </x:c>
      <x:c r="AK13" t="n">
        <x:v>0.0</x:v>
      </x:c>
      <x:c r="AL13" t="n">
        <x:v>0.0</x:v>
      </x:c>
      <x:c r="AM13" t="n">
        <x:v>10.0</x:v>
      </x:c>
      <x:c r="AN13" t="n">
        <x:v>1.0</x:v>
      </x:c>
      <x:c r="AO13" t="n">
        <x:v>10.0</x:v>
      </x:c>
      <x:c r="AP13" t="n">
        <x:v>1.0</x:v>
      </x:c>
      <x:c r="AQ13" t="n">
        <x:v>0.0</x:v>
      </x:c>
      <x:c r="AR13" t="n">
        <x:v>3.0</x:v>
      </x:c>
      <x:c r="AS13" t="n">
        <x:v>80.0</x:v>
      </x:c>
      <x:c r="AT13" t="n">
        <x:v>22.0</x:v>
      </x:c>
      <x:c r="AU13" t="n">
        <x:v>27.5</x:v>
      </x:c>
      <x:c r="AV13" t="n">
        <x:v>3.0</x:v>
      </x:c>
      <x:c r="AW13" t="n">
        <x:v>17.0</x:v>
      </x:c>
      <x:c r="AX13" t="n">
        <x:v>8.0</x:v>
      </x:c>
      <x:c r="AY13" t="n">
        <x:v>47.06</x:v>
      </x:c>
      <x:c r="AZ13" t="n">
        <x:v>73.0</x:v>
      </x:c>
      <x:c r="BA13" t="n">
        <x:v>46.0</x:v>
      </x:c>
      <x:c r="BB13" t="n">
        <x:v>63.01</x:v>
      </x:c>
      <x:c r="BC13" t="n">
        <x:v>19.0</x:v>
      </x:c>
      <x:c r="BD13" t="n">
        <x:v>9.0</x:v>
      </x:c>
      <x:c r="BE13" t="n">
        <x:v>47.37</x:v>
      </x:c>
      <x:c r="BF13" t="n">
        <x:v>4.0</x:v>
      </x:c>
      <x:c r="BG13" t="n">
        <x:v>2.0</x:v>
      </x:c>
      <x:c r="BH13" t="n">
        <x:v>50.0</x:v>
      </x:c>
      <x:c r="BI13" t="n">
        <x:v>60.0</x:v>
      </x:c>
      <x:c r="BJ13" t="n">
        <x:v>22.0</x:v>
      </x:c>
      <x:c r="BK13" t="n">
        <x:v>5.0</x:v>
      </x:c>
      <x:c r="BL13" t="n">
        <x:v>0.0</x:v>
      </x:c>
      <x:c r="BM13" t="n">
        <x:v>0.0</x:v>
      </x:c>
      <x:c r="BN13" t="n">
        <x:v>116.0</x:v>
      </x:c>
      <x:c r="BO13" t="n">
        <x:v>65.0</x:v>
      </x:c>
      <x:c r="BP13" t="n">
        <x:v>56.03</x:v>
      </x:c>
      <x:c r="BQ13" t="n">
        <x:v>57.0</x:v>
      </x:c>
      <x:c r="BR13" t="n">
        <x:v>23.0</x:v>
      </x:c>
      <x:c r="BS13" t="n">
        <x:v>40.35</x:v>
      </x:c>
      <x:c r="BT13" t="n">
        <x:v>44.0</x:v>
      </x:c>
      <x:c r="BU13" t="n">
        <x:v>23.0</x:v>
      </x:c>
      <x:c r="BV13" t="n">
        <x:v>52.27</x:v>
      </x:c>
      <x:c r="BW13" t="n">
        <x:v>68.0</x:v>
      </x:c>
      <x:c r="BX13" t="n">
        <x:v>34.0</x:v>
      </x:c>
      <x:c r="BY13" t="n">
        <x:v>50.0</x:v>
      </x:c>
      <x:c r="BZ13" t="n">
        <x:v>31.0</x:v>
      </x:c>
      <x:c r="CA13" t="n">
        <x:v>22.0</x:v>
      </x:c>
      <x:c r="CB13" t="n">
        <x:v>70.97</x:v>
      </x:c>
      <x:c r="CC13" t="n">
        <x:v>11.41</x:v>
      </x:c>
    </x:row>
    <x:row r="14" ht="12" customHeight="1">
      <x:c r="A14" t="inlineStr">
        <x:is>
          <x:t xml:space="preserve">2026-04-17</x:t>
        </x:is>
      </x:c>
      <x:c r="B14" t="inlineStr">
        <x:is>
          <x:t xml:space="preserve">Perth - Balcatta 0:0</x:t>
        </x:is>
      </x:c>
      <x:c r="C14" t="inlineStr">
        <x:is>
          <x:t xml:space="preserve">Australia. Western Australia NPL Women</x:t>
        </x:is>
      </x:c>
      <x:c r="D14" t="n">
        <x:v>99</x:v>
      </x:c>
      <x:c r="E14" t="inlineStr">
        <x:is>
          <x:t xml:space="preserve">Perth</x:t>
        </x:is>
      </x:c>
      <x:c r="F14" t="inlineStr">
        <x:is>
          <x:t xml:space="preserve">4-1-4-1 (100.0%)</x:t>
        </x:is>
      </x:c>
      <x:c r="G14" t="n">
        <x:v>0</x:v>
      </x:c>
      <x:c r="H14" t="n">
        <x:v>1.24</x:v>
      </x:c>
      <x:c r="I14" t="n">
        <x:v>13.0</x:v>
      </x:c>
      <x:c r="J14" t="n">
        <x:v>4.0</x:v>
      </x:c>
      <x:c r="K14" t="n">
        <x:v>30.77</x:v>
      </x:c>
      <x:c r="L14" t="n">
        <x:v>391.0</x:v>
      </x:c>
      <x:c r="M14" t="n">
        <x:v>281.0</x:v>
      </x:c>
      <x:c r="N14" t="n">
        <x:v>71.87</x:v>
      </x:c>
      <x:c r="O14" t="n">
        <x:v>39.92</x:v>
      </x:c>
      <x:c r="P14" t="n">
        <x:v>137.0</x:v>
      </x:c>
      <x:c r="Q14" t="n">
        <x:v>17.0</x:v>
      </x:c>
      <x:c r="R14" t="n">
        <x:v>60.0</x:v>
      </x:c>
      <x:c r="S14" t="n">
        <x:v>60.0</x:v>
      </x:c>
      <x:c r="T14" t="n">
        <x:v>115.0</x:v>
      </x:c>
      <x:c r="U14" t="n">
        <x:v>55.0</x:v>
      </x:c>
      <x:c r="V14" t="n">
        <x:v>37.0</x:v>
      </x:c>
      <x:c r="W14" t="n">
        <x:v>23.0</x:v>
      </x:c>
      <x:c r="X14" t="n">
        <x:v>200.0</x:v>
      </x:c>
      <x:c r="Y14" t="n">
        <x:v>98.0</x:v>
      </x:c>
      <x:c r="Z14" t="n">
        <x:v>49.0</x:v>
      </x:c>
      <x:c r="AA14" t="n">
        <x:v>4.0</x:v>
      </x:c>
      <x:c r="AB14" t="n">
        <x:v>2.0</x:v>
      </x:c>
      <x:c r="AC14" t="n">
        <x:v>50.0</x:v>
      </x:c>
      <x:c r="AD14" t="n">
        <x:v>34</x:v>
      </x:c>
      <x:c r="AE14" t="n">
        <x:v>12</x:v>
      </x:c>
      <x:c r="AF14" t="n">
        <x:v>35.29</x:v>
      </x:c>
      <x:c r="AG14" t="n">
        <x:v>20</x:v>
      </x:c>
      <x:c r="AH14" t="n">
        <x:v>1</x:v>
      </x:c>
      <x:c r="AI14" t="n">
        <x:v>5.0</x:v>
      </x:c>
      <x:c r="AJ14" t="n">
        <x:v>4.0</x:v>
      </x:c>
      <x:c r="AK14" t="n">
        <x:v>1.0</x:v>
      </x:c>
      <x:c r="AL14" t="n">
        <x:v>25.0</x:v>
      </x:c>
      <x:c r="AM14" t="n">
        <x:v>17.0</x:v>
      </x:c>
      <x:c r="AN14" t="n">
        <x:v>8.0</x:v>
      </x:c>
      <x:c r="AO14" t="n">
        <x:v>47.06</x:v>
      </x:c>
      <x:c r="AP14" t="n">
        <x:v>7.0</x:v>
      </x:c>
      <x:c r="AQ14" t="n">
        <x:v>3.0</x:v>
      </x:c>
      <x:c r="AR14" t="n">
        <x:v>16.0</x:v>
      </x:c>
      <x:c r="AS14" t="n">
        <x:v>68.0</x:v>
      </x:c>
      <x:c r="AT14" t="n">
        <x:v>22.0</x:v>
      </x:c>
      <x:c r="AU14" t="n">
        <x:v>32.35</x:v>
      </x:c>
      <x:c r="AV14" t="n">
        <x:v>0.0</x:v>
      </x:c>
      <x:c r="AW14" t="n">
        <x:v>10.0</x:v>
      </x:c>
      <x:c r="AX14" t="n">
        <x:v>4.0</x:v>
      </x:c>
      <x:c r="AY14" t="n">
        <x:v>40.0</x:v>
      </x:c>
      <x:c r="AZ14" t="n">
        <x:v>83.0</x:v>
      </x:c>
      <x:c r="BA14" t="n">
        <x:v>56.0</x:v>
      </x:c>
      <x:c r="BB14" t="n">
        <x:v>67.47</x:v>
      </x:c>
      <x:c r="BC14" t="n">
        <x:v>16.0</x:v>
      </x:c>
      <x:c r="BD14" t="n">
        <x:v>6.0</x:v>
      </x:c>
      <x:c r="BE14" t="n">
        <x:v>37.5</x:v>
      </x:c>
      <x:c r="BF14" t="n">
        <x:v>0.0</x:v>
      </x:c>
      <x:c r="BG14" t="n">
        <x:v>0.0</x:v>
      </x:c>
      <x:c r="BH14" t="n">
        <x:v>0</x:v>
      </x:c>
      <x:c r="BI14" t="n">
        <x:v>60.0</x:v>
      </x:c>
      <x:c r="BJ14" t="n">
        <x:v>14.0</x:v>
      </x:c>
      <x:c r="BK14" t="n">
        <x:v>10.0</x:v>
      </x:c>
      <x:c r="BL14" t="n">
        <x:v>2.0</x:v>
      </x:c>
      <x:c r="BM14" t="n">
        <x:v>0.0</x:v>
      </x:c>
      <x:c r="BN14" t="n">
        <x:v>181.0</x:v>
      </x:c>
      <x:c r="BO14" t="n">
        <x:v>108.0</x:v>
      </x:c>
      <x:c r="BP14" t="n">
        <x:v>59.67</x:v>
      </x:c>
      <x:c r="BQ14" t="n">
        <x:v>70.0</x:v>
      </x:c>
      <x:c r="BR14" t="n">
        <x:v>27.0</x:v>
      </x:c>
      <x:c r="BS14" t="n">
        <x:v>38.57</x:v>
      </x:c>
      <x:c r="BT14" t="n">
        <x:v>49.0</x:v>
      </x:c>
      <x:c r="BU14" t="n">
        <x:v>25.0</x:v>
      </x:c>
      <x:c r="BV14" t="n">
        <x:v>51.02</x:v>
      </x:c>
      <x:c r="BW14" t="n">
        <x:v>92.0</x:v>
      </x:c>
      <x:c r="BX14" t="n">
        <x:v>48.0</x:v>
      </x:c>
      <x:c r="BY14" t="n">
        <x:v>52.17</x:v>
      </x:c>
      <x:c r="BZ14" t="n">
        <x:v>23.0</x:v>
      </x:c>
      <x:c r="CA14" t="n">
        <x:v>18.0</x:v>
      </x:c>
      <x:c r="CB14" t="n">
        <x:v>78.26</x:v>
      </x:c>
      <x:c r="CC14" t="n">
        <x:v>9.02</x:v>
      </x:c>
    </x:row>
    <x:row r="15" ht="12" customHeight="1">
      <x:c r="A15" t="inlineStr">
        <x:is>
          <x:t xml:space="preserve">2026-04-17</x:t>
        </x:is>
      </x:c>
      <x:c r="B15" t="inlineStr">
        <x:is>
          <x:t xml:space="preserve">Perth - Balcatta 0:0</x:t>
        </x:is>
      </x:c>
      <x:c r="C15" t="inlineStr">
        <x:is>
          <x:t xml:space="preserve">Australia. Western Australia NPL Women</x:t>
        </x:is>
      </x:c>
      <x:c r="D15" t="n">
        <x:v>99</x:v>
      </x:c>
      <x:c r="E15" t="inlineStr">
        <x:is>
          <x:t xml:space="preserve">Balcatta</x:t>
        </x:is>
      </x:c>
      <x:c r="F15" t="inlineStr">
        <x:is>
          <x:t xml:space="preserve">4-4-1-1 (100.0%)</x:t>
        </x:is>
      </x:c>
      <x:c r="G15" t="n">
        <x:v>0</x:v>
      </x:c>
      <x:c r="H15" t="n">
        <x:v>0.73</x:v>
      </x:c>
      <x:c r="I15" t="n">
        <x:v>10.0</x:v>
      </x:c>
      <x:c r="J15" t="n">
        <x:v>4.0</x:v>
      </x:c>
      <x:c r="K15" t="n">
        <x:v>40.0</x:v>
      </x:c>
      <x:c r="L15" t="n">
        <x:v>503.0</x:v>
      </x:c>
      <x:c r="M15" t="n">
        <x:v>371.0</x:v>
      </x:c>
      <x:c r="N15" t="n">
        <x:v>73.76</x:v>
      </x:c>
      <x:c r="O15" t="n">
        <x:v>60.08</x:v>
      </x:c>
      <x:c r="P15" t="n">
        <x:v>162.0</x:v>
      </x:c>
      <x:c r="Q15" t="n">
        <x:v>31.0</x:v>
      </x:c>
      <x:c r="R15" t="n">
        <x:v>52.0</x:v>
      </x:c>
      <x:c r="S15" t="n">
        <x:v>79.0</x:v>
      </x:c>
      <x:c r="T15" t="n">
        <x:v>104.0</x:v>
      </x:c>
      <x:c r="U15" t="n">
        <x:v>41.0</x:v>
      </x:c>
      <x:c r="V15" t="n">
        <x:v>53.0</x:v>
      </x:c>
      <x:c r="W15" t="n">
        <x:v>10.0</x:v>
      </x:c>
      <x:c r="X15" t="n">
        <x:v>200.0</x:v>
      </x:c>
      <x:c r="Y15" t="n">
        <x:v>99.0</x:v>
      </x:c>
      <x:c r="Z15" t="n">
        <x:v>49.5</x:v>
      </x:c>
      <x:c r="AA15" t="n">
        <x:v>5.0</x:v>
      </x:c>
      <x:c r="AB15" t="n">
        <x:v>1.0</x:v>
      </x:c>
      <x:c r="AC15" t="n">
        <x:v>20.0</x:v>
      </x:c>
      <x:c r="AD15" t="n">
        <x:v>41</x:v>
      </x:c>
      <x:c r="AE15" t="n">
        <x:v>6</x:v>
      </x:c>
      <x:c r="AF15" t="n">
        <x:v>14.63</x:v>
      </x:c>
      <x:c r="AG15" t="n">
        <x:v>25</x:v>
      </x:c>
      <x:c r="AH15" t="n">
        <x:v>4</x:v>
      </x:c>
      <x:c r="AI15" t="n">
        <x:v>16.0</x:v>
      </x:c>
      <x:c r="AJ15" t="n">
        <x:v>4.0</x:v>
      </x:c>
      <x:c r="AK15" t="n">
        <x:v>1.0</x:v>
      </x:c>
      <x:c r="AL15" t="n">
        <x:v>25.0</x:v>
      </x:c>
      <x:c r="AM15" t="n">
        <x:v>20.0</x:v>
      </x:c>
      <x:c r="AN15" t="n">
        <x:v>4.0</x:v>
      </x:c>
      <x:c r="AO15" t="n">
        <x:v>20.0</x:v>
      </x:c>
      <x:c r="AP15" t="n">
        <x:v>4.0</x:v>
      </x:c>
      <x:c r="AQ15" t="n">
        <x:v>3.0</x:v>
      </x:c>
      <x:c r="AR15" t="n">
        <x:v>13.0</x:v>
      </x:c>
      <x:c r="AS15" t="n">
        <x:v>83.0</x:v>
      </x:c>
      <x:c r="AT15" t="n">
        <x:v>27.0</x:v>
      </x:c>
      <x:c r="AU15" t="n">
        <x:v>32.53</x:v>
      </x:c>
      <x:c r="AV15" t="n">
        <x:v>0.0</x:v>
      </x:c>
      <x:c r="AW15" t="n">
        <x:v>13.0</x:v>
      </x:c>
      <x:c r="AX15" t="n">
        <x:v>4.0</x:v>
      </x:c>
      <x:c r="AY15" t="n">
        <x:v>30.77</x:v>
      </x:c>
      <x:c r="AZ15" t="n">
        <x:v>68.0</x:v>
      </x:c>
      <x:c r="BA15" t="n">
        <x:v>46.0</x:v>
      </x:c>
      <x:c r="BB15" t="n">
        <x:v>67.65</x:v>
      </x:c>
      <x:c r="BC15" t="n">
        <x:v>16.0</x:v>
      </x:c>
      <x:c r="BD15" t="n">
        <x:v>9.0</x:v>
      </x:c>
      <x:c r="BE15" t="n">
        <x:v>56.25</x:v>
      </x:c>
      <x:c r="BF15" t="n">
        <x:v>0.0</x:v>
      </x:c>
      <x:c r="BG15" t="n">
        <x:v>0.0</x:v>
      </x:c>
      <x:c r="BH15" t="n">
        <x:v>0</x:v>
      </x:c>
      <x:c r="BI15" t="n">
        <x:v>33.0</x:v>
      </x:c>
      <x:c r="BJ15" t="n">
        <x:v>11.0</x:v>
      </x:c>
      <x:c r="BK15" t="n">
        <x:v>6.0</x:v>
      </x:c>
      <x:c r="BL15" t="n">
        <x:v>1.0</x:v>
      </x:c>
      <x:c r="BM15" t="n">
        <x:v>0.0</x:v>
      </x:c>
      <x:c r="BN15" t="n">
        <x:v>184.0</x:v>
      </x:c>
      <x:c r="BO15" t="n">
        <x:v>107.0</x:v>
      </x:c>
      <x:c r="BP15" t="n">
        <x:v>58.15</x:v>
      </x:c>
      <x:c r="BQ15" t="n">
        <x:v>53.0</x:v>
      </x:c>
      <x:c r="BR15" t="n">
        <x:v>19.0</x:v>
      </x:c>
      <x:c r="BS15" t="n">
        <x:v>35.85</x:v>
      </x:c>
      <x:c r="BT15" t="n">
        <x:v>70.0</x:v>
      </x:c>
      <x:c r="BU15" t="n">
        <x:v>38.0</x:v>
      </x:c>
      <x:c r="BV15" t="n">
        <x:v>54.29</x:v>
      </x:c>
      <x:c r="BW15" t="n">
        <x:v>84.0</x:v>
      </x:c>
      <x:c r="BX15" t="n">
        <x:v>49.0</x:v>
      </x:c>
      <x:c r="BY15" t="n">
        <x:v>58.33</x:v>
      </x:c>
      <x:c r="BZ15" t="n">
        <x:v>35.0</x:v>
      </x:c>
      <x:c r="CA15" t="n">
        <x:v>32.0</x:v>
      </x:c>
      <x:c r="CB15" t="n">
        <x:v>91.43</x:v>
      </x:c>
      <x:c r="CC15" t="n">
        <x:v>12.58</x:v>
      </x:c>
    </x:row>
    <x:row r="16" ht="12" customHeight="1">
      <x:c r="A16" t="inlineStr">
        <x:is>
          <x:t xml:space="preserve">2026-04-10</x:t>
        </x:is>
      </x:c>
      <x:c r="B16" t="inlineStr">
        <x:is>
          <x:t xml:space="preserve">Perth - Fremantle City 0:0</x:t>
        </x:is>
      </x:c>
      <x:c r="C16" t="inlineStr">
        <x:is>
          <x:t xml:space="preserve">Australia. Western Australia NPL Women</x:t>
        </x:is>
      </x:c>
      <x:c r="D16" t="n">
        <x:v>95</x:v>
      </x:c>
      <x:c r="E16" t="inlineStr">
        <x:is>
          <x:t xml:space="preserve">Perth</x:t>
        </x:is>
      </x:c>
      <x:c r="F16" t="inlineStr">
        <x:is>
          <x:t xml:space="preserve">4-2-3-1 (48.4%)</x:t>
        </x:is>
      </x:c>
      <x:c r="G16" t="n">
        <x:v>0</x:v>
      </x:c>
      <x:c r="H16" t="n">
        <x:v>0.53</x:v>
      </x:c>
      <x:c r="I16" t="n">
        <x:v>10.0</x:v>
      </x:c>
      <x:c r="J16" t="n">
        <x:v>3.0</x:v>
      </x:c>
      <x:c r="K16" t="n">
        <x:v>30.0</x:v>
      </x:c>
      <x:c r="L16" t="n">
        <x:v>516.0</x:v>
      </x:c>
      <x:c r="M16" t="n">
        <x:v>416.0</x:v>
      </x:c>
      <x:c r="N16" t="n">
        <x:v>80.62</x:v>
      </x:c>
      <x:c r="O16" t="n">
        <x:v>51.92</x:v>
      </x:c>
      <x:c r="P16" t="n">
        <x:v>128.0</x:v>
      </x:c>
      <x:c r="Q16" t="n">
        <x:v>18.0</x:v>
      </x:c>
      <x:c r="R16" t="n">
        <x:v>53.0</x:v>
      </x:c>
      <x:c r="S16" t="n">
        <x:v>57.0</x:v>
      </x:c>
      <x:c r="T16" t="n">
        <x:v>97.0</x:v>
      </x:c>
      <x:c r="U16" t="n">
        <x:v>54.0</x:v>
      </x:c>
      <x:c r="V16" t="n">
        <x:v>32.0</x:v>
      </x:c>
      <x:c r="W16" t="n">
        <x:v>11.0</x:v>
      </x:c>
      <x:c r="X16" t="n">
        <x:v>173.0</x:v>
      </x:c>
      <x:c r="Y16" t="n">
        <x:v>87.0</x:v>
      </x:c>
      <x:c r="Z16" t="n">
        <x:v>50.29</x:v>
      </x:c>
      <x:c r="AA16" t="n">
        <x:v>5.0</x:v>
      </x:c>
      <x:c r="AB16" t="n">
        <x:v>2.0</x:v>
      </x:c>
      <x:c r="AC16" t="n">
        <x:v>40.0</x:v>
      </x:c>
      <x:c r="AD16" t="n">
        <x:v>31</x:v>
      </x:c>
      <x:c r="AE16" t="n">
        <x:v>9</x:v>
      </x:c>
      <x:c r="AF16" t="n">
        <x:v>29.03</x:v>
      </x:c>
      <x:c r="AG16" t="n">
        <x:v>15</x:v>
      </x:c>
      <x:c r="AH16" t="n">
        <x:v>0</x:v>
      </x:c>
      <x:c r="AI16" t="n">
        <x:v>0.0</x:v>
      </x:c>
      <x:c r="AJ16" t="n">
        <x:v>3.0</x:v>
      </x:c>
      <x:c r="AK16" t="n">
        <x:v>0.0</x:v>
      </x:c>
      <x:c r="AL16" t="n">
        <x:v>0.0</x:v>
      </x:c>
      <x:c r="AM16" t="n">
        <x:v>13.0</x:v>
      </x:c>
      <x:c r="AN16" t="n">
        <x:v>4.0</x:v>
      </x:c>
      <x:c r="AO16" t="n">
        <x:v>30.77</x:v>
      </x:c>
      <x:c r="AP16" t="n">
        <x:v>3.0</x:v>
      </x:c>
      <x:c r="AQ16" t="n">
        <x:v>5.0</x:v>
      </x:c>
      <x:c r="AR16" t="n">
        <x:v>14.0</x:v>
      </x:c>
      <x:c r="AS16" t="n">
        <x:v>57.0</x:v>
      </x:c>
      <x:c r="AT16" t="n">
        <x:v>20.0</x:v>
      </x:c>
      <x:c r="AU16" t="n">
        <x:v>35.09</x:v>
      </x:c>
      <x:c r="AV16" t="n">
        <x:v>0.0</x:v>
      </x:c>
      <x:c r="AW16" t="n">
        <x:v>8.0</x:v>
      </x:c>
      <x:c r="AX16" t="n">
        <x:v>0.0</x:v>
      </x:c>
      <x:c r="AY16" t="n">
        <x:v>0.0</x:v>
      </x:c>
      <x:c r="AZ16" t="n">
        <x:v>77.0</x:v>
      </x:c>
      <x:c r="BA16" t="n">
        <x:v>49.0</x:v>
      </x:c>
      <x:c r="BB16" t="n">
        <x:v>63.64</x:v>
      </x:c>
      <x:c r="BC16" t="n">
        <x:v>11.0</x:v>
      </x:c>
      <x:c r="BD16" t="n">
        <x:v>2.0</x:v>
      </x:c>
      <x:c r="BE16" t="n">
        <x:v>18.18</x:v>
      </x:c>
      <x:c r="BF16" t="n">
        <x:v>3.0</x:v>
      </x:c>
      <x:c r="BG16" t="n">
        <x:v>3.0</x:v>
      </x:c>
      <x:c r="BH16" t="n">
        <x:v>100.0</x:v>
      </x:c>
      <x:c r="BI16" t="n">
        <x:v>60.0</x:v>
      </x:c>
      <x:c r="BJ16" t="n">
        <x:v>25.0</x:v>
      </x:c>
      <x:c r="BK16" t="n">
        <x:v>7.0</x:v>
      </x:c>
      <x:c r="BL16" t="n">
        <x:v>0.0</x:v>
      </x:c>
      <x:c r="BM16" t="n">
        <x:v>0.0</x:v>
      </x:c>
      <x:c r="BN16" t="n">
        <x:v>172.0</x:v>
      </x:c>
      <x:c r="BO16" t="n">
        <x:v>111.0</x:v>
      </x:c>
      <x:c r="BP16" t="n">
        <x:v>64.53</x:v>
      </x:c>
      <x:c r="BQ16" t="n">
        <x:v>54.0</x:v>
      </x:c>
      <x:c r="BR16" t="n">
        <x:v>23.0</x:v>
      </x:c>
      <x:c r="BS16" t="n">
        <x:v>42.59</x:v>
      </x:c>
      <x:c r="BT16" t="n">
        <x:v>61.0</x:v>
      </x:c>
      <x:c r="BU16" t="n">
        <x:v>29.0</x:v>
      </x:c>
      <x:c r="BV16" t="n">
        <x:v>47.54</x:v>
      </x:c>
      <x:c r="BW16" t="n">
        <x:v>71.0</x:v>
      </x:c>
      <x:c r="BX16" t="n">
        <x:v>51.0</x:v>
      </x:c>
      <x:c r="BY16" t="n">
        <x:v>71.83</x:v>
      </x:c>
      <x:c r="BZ16" t="n">
        <x:v>19.0</x:v>
      </x:c>
      <x:c r="CA16" t="n">
        <x:v>16.0</x:v>
      </x:c>
      <x:c r="CB16" t="n">
        <x:v>84.21</x:v>
      </x:c>
      <x:c r="CC16" t="n">
        <x:v>10.93</x:v>
      </x:c>
    </x:row>
    <x:row r="17" ht="12" customHeight="1">
      <x:c r="A17" t="inlineStr">
        <x:is>
          <x:t xml:space="preserve">2026-04-10</x:t>
        </x:is>
      </x:c>
      <x:c r="B17" t="inlineStr">
        <x:is>
          <x:t xml:space="preserve">Perth - Fremantle City 0:0</x:t>
        </x:is>
      </x:c>
      <x:c r="C17" t="inlineStr">
        <x:is>
          <x:t xml:space="preserve">Australia. Western Australia NPL Women</x:t>
        </x:is>
      </x:c>
      <x:c r="D17" t="n">
        <x:v>95</x:v>
      </x:c>
      <x:c r="E17" t="inlineStr">
        <x:is>
          <x:t xml:space="preserve">Fremantle City</x:t>
        </x:is>
      </x:c>
      <x:c r="F17" t="inlineStr">
        <x:is>
          <x:t xml:space="preserve">4-2-3-1 (100.0%)</x:t>
        </x:is>
      </x:c>
      <x:c r="G17" t="n">
        <x:v>0</x:v>
      </x:c>
      <x:c r="H17" t="n">
        <x:v>0.39</x:v>
      </x:c>
      <x:c r="I17" t="n">
        <x:v>8.0</x:v>
      </x:c>
      <x:c r="J17" t="n">
        <x:v>0.0</x:v>
      </x:c>
      <x:c r="K17" t="n">
        <x:v>0.0</x:v>
      </x:c>
      <x:c r="L17" t="n">
        <x:v>417.0</x:v>
      </x:c>
      <x:c r="M17" t="n">
        <x:v>314.0</x:v>
      </x:c>
      <x:c r="N17" t="n">
        <x:v>75.3</x:v>
      </x:c>
      <x:c r="O17" t="n">
        <x:v>48.08</x:v>
      </x:c>
      <x:c r="P17" t="n">
        <x:v>144.0</x:v>
      </x:c>
      <x:c r="Q17" t="n">
        <x:v>26.0</x:v>
      </x:c>
      <x:c r="R17" t="n">
        <x:v>35.0</x:v>
      </x:c>
      <x:c r="S17" t="n">
        <x:v>83.0</x:v>
      </x:c>
      <x:c r="T17" t="n">
        <x:v>79.0</x:v>
      </x:c>
      <x:c r="U17" t="n">
        <x:v>36.0</x:v>
      </x:c>
      <x:c r="V17" t="n">
        <x:v>38.0</x:v>
      </x:c>
      <x:c r="W17" t="n">
        <x:v>5.0</x:v>
      </x:c>
      <x:c r="X17" t="n">
        <x:v>173.0</x:v>
      </x:c>
      <x:c r="Y17" t="n">
        <x:v>81.0</x:v>
      </x:c>
      <x:c r="Z17" t="n">
        <x:v>46.82</x:v>
      </x:c>
      <x:c r="AA17" t="n">
        <x:v>6.0</x:v>
      </x:c>
      <x:c r="AB17" t="n">
        <x:v>0.0</x:v>
      </x:c>
      <x:c r="AC17" t="n">
        <x:v>0.0</x:v>
      </x:c>
      <x:c r="AD17" t="n">
        <x:v>33</x:v>
      </x:c>
      <x:c r="AE17" t="n">
        <x:v>5</x:v>
      </x:c>
      <x:c r="AF17" t="n">
        <x:v>15.15</x:v>
      </x:c>
      <x:c r="AG17" t="n">
        <x:v>20</x:v>
      </x:c>
      <x:c r="AH17" t="n">
        <x:v>3</x:v>
      </x:c>
      <x:c r="AI17" t="n">
        <x:v>15.0</x:v>
      </x:c>
      <x:c r="AJ17" t="n">
        <x:v>5.0</x:v>
      </x:c>
      <x:c r="AK17" t="n">
        <x:v>1.0</x:v>
      </x:c>
      <x:c r="AL17" t="n">
        <x:v>20.0</x:v>
      </x:c>
      <x:c r="AM17" t="n">
        <x:v>16.0</x:v>
      </x:c>
      <x:c r="AN17" t="n">
        <x:v>3.0</x:v>
      </x:c>
      <x:c r="AO17" t="n">
        <x:v>18.75</x:v>
      </x:c>
      <x:c r="AP17" t="n">
        <x:v>5.0</x:v>
      </x:c>
      <x:c r="AQ17" t="n">
        <x:v>2.0</x:v>
      </x:c>
      <x:c r="AR17" t="n">
        <x:v>9.0</x:v>
      </x:c>
      <x:c r="AS17" t="n">
        <x:v>77.0</x:v>
      </x:c>
      <x:c r="AT17" t="n">
        <x:v>28.0</x:v>
      </x:c>
      <x:c r="AU17" t="n">
        <x:v>36.36</x:v>
      </x:c>
      <x:c r="AV17" t="n">
        <x:v>0.0</x:v>
      </x:c>
      <x:c r="AW17" t="n">
        <x:v>10.0</x:v>
      </x:c>
      <x:c r="AX17" t="n">
        <x:v>6.0</x:v>
      </x:c>
      <x:c r="AY17" t="n">
        <x:v>60.0</x:v>
      </x:c>
      <x:c r="AZ17" t="n">
        <x:v>57.0</x:v>
      </x:c>
      <x:c r="BA17" t="n">
        <x:v>37.0</x:v>
      </x:c>
      <x:c r="BB17" t="n">
        <x:v>64.91</x:v>
      </x:c>
      <x:c r="BC17" t="n">
        <x:v>11.0</x:v>
      </x:c>
      <x:c r="BD17" t="n">
        <x:v>8.0</x:v>
      </x:c>
      <x:c r="BE17" t="n">
        <x:v>72.73</x:v>
      </x:c>
      <x:c r="BF17" t="n">
        <x:v>0.0</x:v>
      </x:c>
      <x:c r="BG17" t="n">
        <x:v>0.0</x:v>
      </x:c>
      <x:c r="BH17" t="n">
        <x:v>0</x:v>
      </x:c>
      <x:c r="BI17" t="n">
        <x:v>37.0</x:v>
      </x:c>
      <x:c r="BJ17" t="n">
        <x:v>13.0</x:v>
      </x:c>
      <x:c r="BK17" t="n">
        <x:v>4.0</x:v>
      </x:c>
      <x:c r="BL17" t="n">
        <x:v>1.0</x:v>
      </x:c>
      <x:c r="BM17" t="n">
        <x:v>0.0</x:v>
      </x:c>
      <x:c r="BN17" t="n">
        <x:v>164.0</x:v>
      </x:c>
      <x:c r="BO17" t="n">
        <x:v>108.0</x:v>
      </x:c>
      <x:c r="BP17" t="n">
        <x:v>65.85</x:v>
      </x:c>
      <x:c r="BQ17" t="n">
        <x:v>34.0</x:v>
      </x:c>
      <x:c r="BR17" t="n">
        <x:v>16.0</x:v>
      </x:c>
      <x:c r="BS17" t="n">
        <x:v>47.06</x:v>
      </x:c>
      <x:c r="BT17" t="n">
        <x:v>60.0</x:v>
      </x:c>
      <x:c r="BU17" t="n">
        <x:v>33.0</x:v>
      </x:c>
      <x:c r="BV17" t="n">
        <x:v>55.0</x:v>
      </x:c>
      <x:c r="BW17" t="n">
        <x:v>68.0</x:v>
      </x:c>
      <x:c r="BX17" t="n">
        <x:v>43.0</x:v>
      </x:c>
      <x:c r="BY17" t="n">
        <x:v>63.24</x:v>
      </x:c>
      <x:c r="BZ17" t="n">
        <x:v>42.0</x:v>
      </x:c>
      <x:c r="CA17" t="n">
        <x:v>33.0</x:v>
      </x:c>
      <x:c r="CB17" t="n">
        <x:v>78.57</x:v>
      </x:c>
      <x:c r="CC17" t="n">
        <x:v>14.72</x:v>
      </x:c>
    </x:row>
    <x:row r="18" ht="12" customHeight="1">
      <x:c r="A18" t="inlineStr">
        <x:is>
          <x:t xml:space="preserve">2026-04-06</x:t>
        </x:is>
      </x:c>
      <x:c r="B18" t="inlineStr">
        <x:is>
          <x:t xml:space="preserve">Sorrento - Perth 0:2</x:t>
        </x:is>
      </x:c>
      <x:c r="C18" t="inlineStr">
        <x:is>
          <x:t xml:space="preserve">Australia. Western Australia NPL Women</x:t>
        </x:is>
      </x:c>
      <x:c r="D18" t="n">
        <x:v>94</x:v>
      </x:c>
      <x:c r="E18" t="inlineStr">
        <x:is>
          <x:t xml:space="preserve">Perth</x:t>
        </x:is>
      </x:c>
      <x:c r="F18" t="inlineStr">
        <x:is>
          <x:t xml:space="preserve">4-1-4-1 (100.0%)</x:t>
        </x:is>
      </x:c>
      <x:c r="G18" t="n">
        <x:v>2</x:v>
      </x:c>
      <x:c r="H18" t="n">
        <x:v>1.84</x:v>
      </x:c>
      <x:c r="I18" t="n">
        <x:v>30.0</x:v>
      </x:c>
      <x:c r="J18" t="n">
        <x:v>8.0</x:v>
      </x:c>
      <x:c r="K18" t="n">
        <x:v>26.67</x:v>
      </x:c>
      <x:c r="L18" t="n">
        <x:v>472.0</x:v>
      </x:c>
      <x:c r="M18" t="n">
        <x:v>372.0</x:v>
      </x:c>
      <x:c r="N18" t="n">
        <x:v>78.81</x:v>
      </x:c>
      <x:c r="O18" t="n">
        <x:v>59.94</x:v>
      </x:c>
      <x:c r="P18" t="n">
        <x:v>112.0</x:v>
      </x:c>
      <x:c r="Q18" t="n">
        <x:v>10.0</x:v>
      </x:c>
      <x:c r="R18" t="n">
        <x:v>35.0</x:v>
      </x:c>
      <x:c r="S18" t="n">
        <x:v>67.0</x:v>
      </x:c>
      <x:c r="T18" t="n">
        <x:v>100.0</x:v>
      </x:c>
      <x:c r="U18" t="n">
        <x:v>19.0</x:v>
      </x:c>
      <x:c r="V18" t="n">
        <x:v>54.0</x:v>
      </x:c>
      <x:c r="W18" t="n">
        <x:v>27.0</x:v>
      </x:c>
      <x:c r="X18" t="n">
        <x:v>198.0</x:v>
      </x:c>
      <x:c r="Y18" t="n">
        <x:v>121.0</x:v>
      </x:c>
      <x:c r="Z18" t="n">
        <x:v>61.11</x:v>
      </x:c>
      <x:c r="AA18" t="n">
        <x:v>18.0</x:v>
      </x:c>
      <x:c r="AB18" t="n">
        <x:v>4.0</x:v>
      </x:c>
      <x:c r="AC18" t="n">
        <x:v>22.22</x:v>
      </x:c>
      <x:c r="AD18" t="n">
        <x:v>56</x:v>
      </x:c>
      <x:c r="AE18" t="n">
        <x:v>23</x:v>
      </x:c>
      <x:c r="AF18" t="n">
        <x:v>41.07</x:v>
      </x:c>
      <x:c r="AG18" t="n">
        <x:v>20</x:v>
      </x:c>
      <x:c r="AH18" t="n">
        <x:v>5</x:v>
      </x:c>
      <x:c r="AI18" t="n">
        <x:v>25.0</x:v>
      </x:c>
      <x:c r="AJ18" t="n">
        <x:v>8.0</x:v>
      </x:c>
      <x:c r="AK18" t="n">
        <x:v>3.0</x:v>
      </x:c>
      <x:c r="AL18" t="n">
        <x:v>37.5</x:v>
      </x:c>
      <x:c r="AM18" t="n">
        <x:v>21.0</x:v>
      </x:c>
      <x:c r="AN18" t="n">
        <x:v>5.0</x:v>
      </x:c>
      <x:c r="AO18" t="n">
        <x:v>23.81</x:v>
      </x:c>
      <x:c r="AP18" t="n">
        <x:v>7.0</x:v>
      </x:c>
      <x:c r="AQ18" t="n">
        <x:v>10.0</x:v>
      </x:c>
      <x:c r="AR18" t="n">
        <x:v>24.0</x:v>
      </x:c>
      <x:c r="AS18" t="n">
        <x:v>79.0</x:v>
      </x:c>
      <x:c r="AT18" t="n">
        <x:v>33.0</x:v>
      </x:c>
      <x:c r="AU18" t="n">
        <x:v>41.77</x:v>
      </x:c>
      <x:c r="AV18" t="n">
        <x:v>0.0</x:v>
      </x:c>
      <x:c r="AW18" t="n">
        <x:v>7.0</x:v>
      </x:c>
      <x:c r="AX18" t="n">
        <x:v>2.0</x:v>
      </x:c>
      <x:c r="AY18" t="n">
        <x:v>28.57</x:v>
      </x:c>
      <x:c r="AZ18" t="n">
        <x:v>85.0</x:v>
      </x:c>
      <x:c r="BA18" t="n">
        <x:v>65.0</x:v>
      </x:c>
      <x:c r="BB18" t="n">
        <x:v>76.47</x:v>
      </x:c>
      <x:c r="BC18" t="n">
        <x:v>9.0</x:v>
      </x:c>
      <x:c r="BD18" t="n">
        <x:v>7.0</x:v>
      </x:c>
      <x:c r="BE18" t="n">
        <x:v>77.78</x:v>
      </x:c>
      <x:c r="BF18" t="n">
        <x:v>2.0</x:v>
      </x:c>
      <x:c r="BG18" t="n">
        <x:v>1.0</x:v>
      </x:c>
      <x:c r="BH18" t="n">
        <x:v>50.0</x:v>
      </x:c>
      <x:c r="BI18" t="n">
        <x:v>48.0</x:v>
      </x:c>
      <x:c r="BJ18" t="n">
        <x:v>17.0</x:v>
      </x:c>
      <x:c r="BK18" t="n">
        <x:v>9.0</x:v>
      </x:c>
      <x:c r="BL18" t="n">
        <x:v>0.0</x:v>
      </x:c>
      <x:c r="BM18" t="n">
        <x:v>0.0</x:v>
      </x:c>
      <x:c r="BN18" t="n">
        <x:v>165.0</x:v>
      </x:c>
      <x:c r="BO18" t="n">
        <x:v>120.0</x:v>
      </x:c>
      <x:c r="BP18" t="n">
        <x:v>72.73</x:v>
      </x:c>
      <x:c r="BQ18" t="n">
        <x:v>39.0</x:v>
      </x:c>
      <x:c r="BR18" t="n">
        <x:v>18.0</x:v>
      </x:c>
      <x:c r="BS18" t="n">
        <x:v>46.15</x:v>
      </x:c>
      <x:c r="BT18" t="n">
        <x:v>78.0</x:v>
      </x:c>
      <x:c r="BU18" t="n">
        <x:v>54.0</x:v>
      </x:c>
      <x:c r="BV18" t="n">
        <x:v>69.23</x:v>
      </x:c>
      <x:c r="BW18" t="n">
        <x:v>98.0</x:v>
      </x:c>
      <x:c r="BX18" t="n">
        <x:v>76.0</x:v>
      </x:c>
      <x:c r="BY18" t="n">
        <x:v>77.55</x:v>
      </x:c>
      <x:c r="BZ18" t="n">
        <x:v>25.0</x:v>
      </x:c>
      <x:c r="CA18" t="n">
        <x:v>19.0</x:v>
      </x:c>
      <x:c r="CB18" t="n">
        <x:v>76.0</x:v>
      </x:c>
      <x:c r="CC18" t="n">
        <x:v>4.37</x:v>
      </x:c>
    </x:row>
    <x:row r="19" ht="12" customHeight="1">
      <x:c r="A19" t="inlineStr">
        <x:is>
          <x:t xml:space="preserve">2026-04-06</x:t>
        </x:is>
      </x:c>
      <x:c r="B19" t="inlineStr">
        <x:is>
          <x:t xml:space="preserve">Sorrento - Perth 0:2</x:t>
        </x:is>
      </x:c>
      <x:c r="C19" t="inlineStr">
        <x:is>
          <x:t xml:space="preserve">Australia. Western Australia NPL Women</x:t>
        </x:is>
      </x:c>
      <x:c r="D19" t="n">
        <x:v>94</x:v>
      </x:c>
      <x:c r="E19" t="inlineStr">
        <x:is>
          <x:t xml:space="preserve">Sorrento</x:t>
        </x:is>
      </x:c>
      <x:c r="F19" t="inlineStr">
        <x:is>
          <x:t xml:space="preserve">4-5-1 (100.0%)</x:t>
        </x:is>
      </x:c>
      <x:c r="G19" t="n">
        <x:v>0</x:v>
      </x:c>
      <x:c r="H19" t="n">
        <x:v>0.4</x:v>
      </x:c>
      <x:c r="I19" t="n">
        <x:v>7.0</x:v>
      </x:c>
      <x:c r="J19" t="n">
        <x:v>2.0</x:v>
      </x:c>
      <x:c r="K19" t="n">
        <x:v>28.57</x:v>
      </x:c>
      <x:c r="L19" t="n">
        <x:v>316.0</x:v>
      </x:c>
      <x:c r="M19" t="n">
        <x:v>221.0</x:v>
      </x:c>
      <x:c r="N19" t="n">
        <x:v>69.94</x:v>
      </x:c>
      <x:c r="O19" t="n">
        <x:v>40.06</x:v>
      </x:c>
      <x:c r="P19" t="n">
        <x:v>134.0</x:v>
      </x:c>
      <x:c r="Q19" t="n">
        <x:v>38.0</x:v>
      </x:c>
      <x:c r="R19" t="n">
        <x:v>68.0</x:v>
      </x:c>
      <x:c r="S19" t="n">
        <x:v>28.0</x:v>
      </x:c>
      <x:c r="T19" t="n">
        <x:v>72.0</x:v>
      </x:c>
      <x:c r="U19" t="n">
        <x:v>44.0</x:v>
      </x:c>
      <x:c r="V19" t="n">
        <x:v>20.0</x:v>
      </x:c>
      <x:c r="W19" t="n">
        <x:v>8.0</x:v>
      </x:c>
      <x:c r="X19" t="n">
        <x:v>198.0</x:v>
      </x:c>
      <x:c r="Y19" t="n">
        <x:v>74.0</x:v>
      </x:c>
      <x:c r="Z19" t="n">
        <x:v>37.37</x:v>
      </x:c>
      <x:c r="AA19" t="n">
        <x:v>4.0</x:v>
      </x:c>
      <x:c r="AB19" t="n">
        <x:v>0.0</x:v>
      </x:c>
      <x:c r="AC19" t="n">
        <x:v>0.0</x:v>
      </x:c>
      <x:c r="AD19" t="n">
        <x:v>19</x:v>
      </x:c>
      <x:c r="AE19" t="n">
        <x:v>6</x:v>
      </x:c>
      <x:c r="AF19" t="n">
        <x:v>31.58</x:v>
      </x:c>
      <x:c r="AG19" t="n">
        <x:v>41</x:v>
      </x:c>
      <x:c r="AH19" t="n">
        <x:v>0</x:v>
      </x:c>
      <x:c r="AI19" t="n">
        <x:v>0.0</x:v>
      </x:c>
      <x:c r="AJ19" t="n">
        <x:v>0.0</x:v>
      </x:c>
      <x:c r="AK19" t="n">
        <x:v>0.0</x:v>
      </x:c>
      <x:c r="AL19" t="n">
        <x:v>0</x:v>
      </x:c>
      <x:c r="AM19" t="n">
        <x:v>9.0</x:v>
      </x:c>
      <x:c r="AN19" t="n">
        <x:v>3.0</x:v>
      </x:c>
      <x:c r="AO19" t="n">
        <x:v>33.33</x:v>
      </x:c>
      <x:c r="AP19" t="n">
        <x:v>4.0</x:v>
      </x:c>
      <x:c r="AQ19" t="n">
        <x:v>3.0</x:v>
      </x:c>
      <x:c r="AR19" t="n">
        <x:v>6.0</x:v>
      </x:c>
      <x:c r="AS19" t="n">
        <x:v>85.0</x:v>
      </x:c>
      <x:c r="AT19" t="n">
        <x:v>20.0</x:v>
      </x:c>
      <x:c r="AU19" t="n">
        <x:v>23.53</x:v>
      </x:c>
      <x:c r="AV19" t="n">
        <x:v>2.0</x:v>
      </x:c>
      <x:c r="AW19" t="n">
        <x:v>30.0</x:v>
      </x:c>
      <x:c r="AX19" t="n">
        <x:v>8.0</x:v>
      </x:c>
      <x:c r="AY19" t="n">
        <x:v>26.67</x:v>
      </x:c>
      <x:c r="AZ19" t="n">
        <x:v>79.0</x:v>
      </x:c>
      <x:c r="BA19" t="n">
        <x:v>46.0</x:v>
      </x:c>
      <x:c r="BB19" t="n">
        <x:v>58.23</x:v>
      </x:c>
      <x:c r="BC19" t="n">
        <x:v>9.0</x:v>
      </x:c>
      <x:c r="BD19" t="n">
        <x:v>1.0</x:v>
      </x:c>
      <x:c r="BE19" t="n">
        <x:v>11.11</x:v>
      </x:c>
      <x:c r="BF19" t="n">
        <x:v>3.0</x:v>
      </x:c>
      <x:c r="BG19" t="n">
        <x:v>1.0</x:v>
      </x:c>
      <x:c r="BH19" t="n">
        <x:v>33.33</x:v>
      </x:c>
      <x:c r="BI19" t="n">
        <x:v>51.0</x:v>
      </x:c>
      <x:c r="BJ19" t="n">
        <x:v>20.0</x:v>
      </x:c>
      <x:c r="BK19" t="n">
        <x:v>7.0</x:v>
      </x:c>
      <x:c r="BL19" t="n">
        <x:v>1.0</x:v>
      </x:c>
      <x:c r="BM19" t="n">
        <x:v>0.0</x:v>
      </x:c>
      <x:c r="BN19" t="n">
        <x:v>153.0</x:v>
      </x:c>
      <x:c r="BO19" t="n">
        <x:v>94.0</x:v>
      </x:c>
      <x:c r="BP19" t="n">
        <x:v>61.44</x:v>
      </x:c>
      <x:c r="BQ19" t="n">
        <x:v>40.0</x:v>
      </x:c>
      <x:c r="BR19" t="n">
        <x:v>18.0</x:v>
      </x:c>
      <x:c r="BS19" t="n">
        <x:v>45.0</x:v>
      </x:c>
      <x:c r="BT19" t="n">
        <x:v>24.0</x:v>
      </x:c>
      <x:c r="BU19" t="n">
        <x:v>13.0</x:v>
      </x:c>
      <x:c r="BV19" t="n">
        <x:v>54.17</x:v>
      </x:c>
      <x:c r="BW19" t="n">
        <x:v>77.0</x:v>
      </x:c>
      <x:c r="BX19" t="n">
        <x:v>24.0</x:v>
      </x:c>
      <x:c r="BY19" t="n">
        <x:v>31.17</x:v>
      </x:c>
      <x:c r="BZ19" t="n">
        <x:v>24.0</x:v>
      </x:c>
      <x:c r="CA19" t="n">
        <x:v>12.0</x:v>
      </x:c>
      <x:c r="CB19" t="n">
        <x:v>50.0</x:v>
      </x:c>
      <x:c r="CC19" t="n">
        <x:v>13.46</x:v>
      </x:c>
    </x:row>
    <x:row r="20" ht="12" customHeight="1">
      <x:c r="A20" t="inlineStr">
        <x:is>
          <x:t xml:space="preserve">2026-03-29</x:t>
        </x:is>
      </x:c>
      <x:c r="B20" t="inlineStr">
        <x:is>
          <x:t xml:space="preserve">Perth - Subiaco 2:0</x:t>
        </x:is>
      </x:c>
      <x:c r="C20" t="inlineStr">
        <x:is>
          <x:t xml:space="preserve">Australia. Western Australia NPL Women</x:t>
        </x:is>
      </x:c>
      <x:c r="D20" t="n">
        <x:v>96</x:v>
      </x:c>
      <x:c r="E20" t="inlineStr">
        <x:is>
          <x:t xml:space="preserve">Perth</x:t>
        </x:is>
      </x:c>
      <x:c r="F20" t="inlineStr">
        <x:is>
          <x:t xml:space="preserve">4-2-3-1 (100.0%)</x:t>
        </x:is>
      </x:c>
      <x:c r="G20" t="n">
        <x:v>2</x:v>
      </x:c>
      <x:c r="H20" t="n">
        <x:v>1.74</x:v>
      </x:c>
      <x:c r="I20" t="n">
        <x:v>18.0</x:v>
      </x:c>
      <x:c r="J20" t="n">
        <x:v>8.0</x:v>
      </x:c>
      <x:c r="K20" t="n">
        <x:v>44.44</x:v>
      </x:c>
      <x:c r="L20" t="n">
        <x:v>429.0</x:v>
      </x:c>
      <x:c r="M20" t="n">
        <x:v>308.0</x:v>
      </x:c>
      <x:c r="N20" t="n">
        <x:v>71.79</x:v>
      </x:c>
      <x:c r="O20" t="n">
        <x:v>50.98</x:v>
      </x:c>
      <x:c r="P20" t="n">
        <x:v>167.0</x:v>
      </x:c>
      <x:c r="Q20" t="n">
        <x:v>38.0</x:v>
      </x:c>
      <x:c r="R20" t="n">
        <x:v>51.0</x:v>
      </x:c>
      <x:c r="S20" t="n">
        <x:v>78.0</x:v>
      </x:c>
      <x:c r="T20" t="n">
        <x:v>106.0</x:v>
      </x:c>
      <x:c r="U20" t="n">
        <x:v>51.0</x:v>
      </x:c>
      <x:c r="V20" t="n">
        <x:v>44.0</x:v>
      </x:c>
      <x:c r="W20" t="n">
        <x:v>11.0</x:v>
      </x:c>
      <x:c r="X20" t="n">
        <x:v>170.0</x:v>
      </x:c>
      <x:c r="Y20" t="n">
        <x:v>81.0</x:v>
      </x:c>
      <x:c r="Z20" t="n">
        <x:v>47.65</x:v>
      </x:c>
      <x:c r="AA20" t="n">
        <x:v>9.0</x:v>
      </x:c>
      <x:c r="AB20" t="n">
        <x:v>4.0</x:v>
      </x:c>
      <x:c r="AC20" t="n">
        <x:v>44.44</x:v>
      </x:c>
      <x:c r="AD20" t="n">
        <x:v>41</x:v>
      </x:c>
      <x:c r="AE20" t="n">
        <x:v>15</x:v>
      </x:c>
      <x:c r="AF20" t="n">
        <x:v>36.59</x:v>
      </x:c>
      <x:c r="AG20" t="n">
        <x:v>19</x:v>
      </x:c>
      <x:c r="AH20" t="n">
        <x:v>2</x:v>
      </x:c>
      <x:c r="AI20" t="n">
        <x:v>10.53</x:v>
      </x:c>
      <x:c r="AJ20" t="n">
        <x:v>1.0</x:v>
      </x:c>
      <x:c r="AK20" t="n">
        <x:v>0.0</x:v>
      </x:c>
      <x:c r="AL20" t="n">
        <x:v>0.0</x:v>
      </x:c>
      <x:c r="AM20" t="n">
        <x:v>11.0</x:v>
      </x:c>
      <x:c r="AN20" t="n">
        <x:v>1.0</x:v>
      </x:c>
      <x:c r="AO20" t="n">
        <x:v>9.09</x:v>
      </x:c>
      <x:c r="AP20" t="n">
        <x:v>2.0</x:v>
      </x:c>
      <x:c r="AQ20" t="n">
        <x:v>8.0</x:v>
      </x:c>
      <x:c r="AR20" t="n">
        <x:v>12.0</x:v>
      </x:c>
      <x:c r="AS20" t="n">
        <x:v>67.0</x:v>
      </x:c>
      <x:c r="AT20" t="n">
        <x:v>16.0</x:v>
      </x:c>
      <x:c r="AU20" t="n">
        <x:v>23.88</x:v>
      </x:c>
      <x:c r="AV20" t="n">
        <x:v>0.0</x:v>
      </x:c>
      <x:c r="AW20" t="n">
        <x:v>15.0</x:v>
      </x:c>
      <x:c r="AX20" t="n">
        <x:v>3.0</x:v>
      </x:c>
      <x:c r="AY20" t="n">
        <x:v>20.0</x:v>
      </x:c>
      <x:c r="AZ20" t="n">
        <x:v>75.0</x:v>
      </x:c>
      <x:c r="BA20" t="n">
        <x:v>55.0</x:v>
      </x:c>
      <x:c r="BB20" t="n">
        <x:v>73.33</x:v>
      </x:c>
      <x:c r="BC20" t="n">
        <x:v>10.0</x:v>
      </x:c>
      <x:c r="BD20" t="n">
        <x:v>4.0</x:v>
      </x:c>
      <x:c r="BE20" t="n">
        <x:v>40.0</x:v>
      </x:c>
      <x:c r="BF20" t="n">
        <x:v>1.0</x:v>
      </x:c>
      <x:c r="BG20" t="n">
        <x:v>1.0</x:v>
      </x:c>
      <x:c r="BH20" t="n">
        <x:v>100.0</x:v>
      </x:c>
      <x:c r="BI20" t="n">
        <x:v>69.0</x:v>
      </x:c>
      <x:c r="BJ20" t="n">
        <x:v>10.0</x:v>
      </x:c>
      <x:c r="BK20" t="n">
        <x:v>5.0</x:v>
      </x:c>
      <x:c r="BL20" t="n">
        <x:v>0.0</x:v>
      </x:c>
      <x:c r="BM20" t="n">
        <x:v>0.0</x:v>
      </x:c>
      <x:c r="BN20" t="n">
        <x:v>184.0</x:v>
      </x:c>
      <x:c r="BO20" t="n">
        <x:v>111.0</x:v>
      </x:c>
      <x:c r="BP20" t="n">
        <x:v>60.33</x:v>
      </x:c>
      <x:c r="BQ20" t="n">
        <x:v>44.0</x:v>
      </x:c>
      <x:c r="BR20" t="n">
        <x:v>22.0</x:v>
      </x:c>
      <x:c r="BS20" t="n">
        <x:v>50.0</x:v>
      </x:c>
      <x:c r="BT20" t="n">
        <x:v>78.0</x:v>
      </x:c>
      <x:c r="BU20" t="n">
        <x:v>37.0</x:v>
      </x:c>
      <x:c r="BV20" t="n">
        <x:v>47.44</x:v>
      </x:c>
      <x:c r="BW20" t="n">
        <x:v>110.0</x:v>
      </x:c>
      <x:c r="BX20" t="n">
        <x:v>65.0</x:v>
      </x:c>
      <x:c r="BY20" t="n">
        <x:v>59.09</x:v>
      </x:c>
      <x:c r="BZ20" t="n">
        <x:v>39.0</x:v>
      </x:c>
      <x:c r="CA20" t="n">
        <x:v>30.0</x:v>
      </x:c>
      <x:c r="CB20" t="n">
        <x:v>76.92</x:v>
      </x:c>
      <x:c r="CC20" t="n">
        <x:v>5.18</x:v>
      </x:c>
    </x:row>
    <x:row r="21" ht="12" customHeight="1">
      <x:c r="A21" t="inlineStr">
        <x:is>
          <x:t xml:space="preserve">2026-03-29</x:t>
        </x:is>
      </x:c>
      <x:c r="B21" t="inlineStr">
        <x:is>
          <x:t xml:space="preserve">Perth - Subiaco 2:0</x:t>
        </x:is>
      </x:c>
      <x:c r="C21" t="inlineStr">
        <x:is>
          <x:t xml:space="preserve">Australia. Western Australia NPL Women</x:t>
        </x:is>
      </x:c>
      <x:c r="D21" t="n">
        <x:v>96</x:v>
      </x:c>
      <x:c r="E21" t="inlineStr">
        <x:is>
          <x:t xml:space="preserve">Subiaco</x:t>
        </x:is>
      </x:c>
      <x:c r="F21" t="inlineStr">
        <x:is>
          <x:t xml:space="preserve">4-4-2 (49.52%)</x:t>
        </x:is>
      </x:c>
      <x:c r="G21" t="n">
        <x:v>0</x:v>
      </x:c>
      <x:c r="H21" t="n">
        <x:v>1.31</x:v>
      </x:c>
      <x:c r="I21" t="n">
        <x:v>15.0</x:v>
      </x:c>
      <x:c r="J21" t="n">
        <x:v>3.0</x:v>
      </x:c>
      <x:c r="K21" t="n">
        <x:v>20.0</x:v>
      </x:c>
      <x:c r="L21" t="n">
        <x:v>382.0</x:v>
      </x:c>
      <x:c r="M21" t="n">
        <x:v>260.0</x:v>
      </x:c>
      <x:c r="N21" t="n">
        <x:v>68.06</x:v>
      </x:c>
      <x:c r="O21" t="n">
        <x:v>49.02</x:v>
      </x:c>
      <x:c r="P21" t="n">
        <x:v>154.0</x:v>
      </x:c>
      <x:c r="Q21" t="n">
        <x:v>21.0</x:v>
      </x:c>
      <x:c r="R21" t="n">
        <x:v>68.0</x:v>
      </x:c>
      <x:c r="S21" t="n">
        <x:v>65.0</x:v>
      </x:c>
      <x:c r="T21" t="n">
        <x:v>94.0</x:v>
      </x:c>
      <x:c r="U21" t="n">
        <x:v>46.0</x:v>
      </x:c>
      <x:c r="V21" t="n">
        <x:v>26.0</x:v>
      </x:c>
      <x:c r="W21" t="n">
        <x:v>22.0</x:v>
      </x:c>
      <x:c r="X21" t="n">
        <x:v>170.0</x:v>
      </x:c>
      <x:c r="Y21" t="n">
        <x:v>88.0</x:v>
      </x:c>
      <x:c r="Z21" t="n">
        <x:v>51.76</x:v>
      </x:c>
      <x:c r="AA21" t="n">
        <x:v>8.0</x:v>
      </x:c>
      <x:c r="AB21" t="n">
        <x:v>2.0</x:v>
      </x:c>
      <x:c r="AC21" t="n">
        <x:v>25.0</x:v>
      </x:c>
      <x:c r="AD21" t="n">
        <x:v>33</x:v>
      </x:c>
      <x:c r="AE21" t="n">
        <x:v>8</x:v>
      </x:c>
      <x:c r="AF21" t="n">
        <x:v>24.24</x:v>
      </x:c>
      <x:c r="AG21" t="n">
        <x:v>33</x:v>
      </x:c>
      <x:c r="AH21" t="n">
        <x:v>7</x:v>
      </x:c>
      <x:c r="AI21" t="n">
        <x:v>21.21</x:v>
      </x:c>
      <x:c r="AJ21" t="n">
        <x:v>7.0</x:v>
      </x:c>
      <x:c r="AK21" t="n">
        <x:v>4.0</x:v>
      </x:c>
      <x:c r="AL21" t="n">
        <x:v>57.14</x:v>
      </x:c>
      <x:c r="AM21" t="n">
        <x:v>15.0</x:v>
      </x:c>
      <x:c r="AN21" t="n">
        <x:v>5.0</x:v>
      </x:c>
      <x:c r="AO21" t="n">
        <x:v>33.33</x:v>
      </x:c>
      <x:c r="AP21" t="n">
        <x:v>5.0</x:v>
      </x:c>
      <x:c r="AQ21" t="n">
        <x:v>5.0</x:v>
      </x:c>
      <x:c r="AR21" t="n">
        <x:v>16.0</x:v>
      </x:c>
      <x:c r="AS21" t="n">
        <x:v>75.0</x:v>
      </x:c>
      <x:c r="AT21" t="n">
        <x:v>20.0</x:v>
      </x:c>
      <x:c r="AU21" t="n">
        <x:v>26.67</x:v>
      </x:c>
      <x:c r="AV21" t="n">
        <x:v>2.0</x:v>
      </x:c>
      <x:c r="AW21" t="n">
        <x:v>18.0</x:v>
      </x:c>
      <x:c r="AX21" t="n">
        <x:v>8.0</x:v>
      </x:c>
      <x:c r="AY21" t="n">
        <x:v>44.44</x:v>
      </x:c>
      <x:c r="AZ21" t="n">
        <x:v>67.0</x:v>
      </x:c>
      <x:c r="BA21" t="n">
        <x:v>51.0</x:v>
      </x:c>
      <x:c r="BB21" t="n">
        <x:v>76.12</x:v>
      </x:c>
      <x:c r="BC21" t="n">
        <x:v>10.0</x:v>
      </x:c>
      <x:c r="BD21" t="n">
        <x:v>6.0</x:v>
      </x:c>
      <x:c r="BE21" t="n">
        <x:v>60.0</x:v>
      </x:c>
      <x:c r="BF21" t="n">
        <x:v>5.0</x:v>
      </x:c>
      <x:c r="BG21" t="n">
        <x:v>3.0</x:v>
      </x:c>
      <x:c r="BH21" t="n">
        <x:v>60.0</x:v>
      </x:c>
      <x:c r="BI21" t="n">
        <x:v>50.0</x:v>
      </x:c>
      <x:c r="BJ21" t="n">
        <x:v>18.0</x:v>
      </x:c>
      <x:c r="BK21" t="n">
        <x:v>4.0</x:v>
      </x:c>
      <x:c r="BL21" t="n">
        <x:v>1.0</x:v>
      </x:c>
      <x:c r="BM21" t="n">
        <x:v>0.0</x:v>
      </x:c>
      <x:c r="BN21" t="n">
        <x:v>170.0</x:v>
      </x:c>
      <x:c r="BO21" t="n">
        <x:v>102.0</x:v>
      </x:c>
      <x:c r="BP21" t="n">
        <x:v>60.0</x:v>
      </x:c>
      <x:c r="BQ21" t="n">
        <x:v>54.0</x:v>
      </x:c>
      <x:c r="BR21" t="n">
        <x:v>32.0</x:v>
      </x:c>
      <x:c r="BS21" t="n">
        <x:v>59.26</x:v>
      </x:c>
      <x:c r="BT21" t="n">
        <x:v>57.0</x:v>
      </x:c>
      <x:c r="BU21" t="n">
        <x:v>30.0</x:v>
      </x:c>
      <x:c r="BV21" t="n">
        <x:v>52.63</x:v>
      </x:c>
      <x:c r="BW21" t="n">
        <x:v>89.0</x:v>
      </x:c>
      <x:c r="BX21" t="n">
        <x:v>46.0</x:v>
      </x:c>
      <x:c r="BY21" t="n">
        <x:v>51.69</x:v>
      </x:c>
      <x:c r="BZ21" t="n">
        <x:v>33.0</x:v>
      </x:c>
      <x:c r="CA21" t="n">
        <x:v>28.0</x:v>
      </x:c>
      <x:c r="CB21" t="n">
        <x:v>84.85</x:v>
      </x:c>
      <x:c r="CC21" t="n">
        <x:v>10.47</x:v>
      </x:c>
    </x:row>
    <x:row r="22" ht="12" customHeight="1">
      <x:c r="A22" t="inlineStr">
        <x:is>
          <x:t xml:space="preserve">2026-03-20</x:t>
        </x:is>
      </x:c>
      <x:c r="B22" t="inlineStr">
        <x:is>
          <x:t xml:space="preserve">Perth - UWA Nedlands 6:0</x:t>
        </x:is>
      </x:c>
      <x:c r="C22" t="inlineStr">
        <x:is>
          <x:t xml:space="preserve">Australia. Western Australia NPL Women</x:t>
        </x:is>
      </x:c>
      <x:c r="D22" t="n">
        <x:v>95</x:v>
      </x:c>
      <x:c r="E22" t="inlineStr">
        <x:is>
          <x:t xml:space="preserve">Perth</x:t>
        </x:is>
      </x:c>
      <x:c r="F22" t="inlineStr">
        <x:is>
          <x:t xml:space="preserve">4-3-3 (100.0%)</x:t>
        </x:is>
      </x:c>
      <x:c r="G22" t="n">
        <x:v>6</x:v>
      </x:c>
      <x:c r="H22" t="n">
        <x:v>1.77</x:v>
      </x:c>
      <x:c r="I22" t="n">
        <x:v>20.0</x:v>
      </x:c>
      <x:c r="J22" t="n">
        <x:v>11.0</x:v>
      </x:c>
      <x:c r="K22" t="n">
        <x:v>55.0</x:v>
      </x:c>
      <x:c r="L22" t="n">
        <x:v>514.0</x:v>
      </x:c>
      <x:c r="M22" t="n">
        <x:v>411.0</x:v>
      </x:c>
      <x:c r="N22" t="n">
        <x:v>79.96</x:v>
      </x:c>
      <x:c r="O22" t="n">
        <x:v>62.41</x:v>
      </x:c>
      <x:c r="P22" t="n">
        <x:v>132.0</x:v>
      </x:c>
      <x:c r="Q22" t="n">
        <x:v>4.0</x:v>
      </x:c>
      <x:c r="R22" t="n">
        <x:v>27.0</x:v>
      </x:c>
      <x:c r="S22" t="n">
        <x:v>101.0</x:v>
      </x:c>
      <x:c r="T22" t="n">
        <x:v>95.0</x:v>
      </x:c>
      <x:c r="U22" t="n">
        <x:v>19.0</x:v>
      </x:c>
      <x:c r="V22" t="n">
        <x:v>44.0</x:v>
      </x:c>
      <x:c r="W22" t="n">
        <x:v>32.0</x:v>
      </x:c>
      <x:c r="X22" t="n">
        <x:v>155.0</x:v>
      </x:c>
      <x:c r="Y22" t="n">
        <x:v>78.0</x:v>
      </x:c>
      <x:c r="Z22" t="n">
        <x:v>50.32</x:v>
      </x:c>
      <x:c r="AA22" t="n">
        <x:v>13.0</x:v>
      </x:c>
      <x:c r="AB22" t="n">
        <x:v>6.0</x:v>
      </x:c>
      <x:c r="AC22" t="n">
        <x:v>46.15</x:v>
      </x:c>
      <x:c r="AD22" t="n">
        <x:v>67</x:v>
      </x:c>
      <x:c r="AE22" t="n">
        <x:v>17</x:v>
      </x:c>
      <x:c r="AF22" t="n">
        <x:v>25.37</x:v>
      </x:c>
      <x:c r="AG22" t="n">
        <x:v>13</x:v>
      </x:c>
      <x:c r="AH22" t="n">
        <x:v>3</x:v>
      </x:c>
      <x:c r="AI22" t="n">
        <x:v>23.08</x:v>
      </x:c>
      <x:c r="AJ22" t="n">
        <x:v>7.0</x:v>
      </x:c>
      <x:c r="AK22" t="n">
        <x:v>2.0</x:v>
      </x:c>
      <x:c r="AL22" t="n">
        <x:v>28.57</x:v>
      </x:c>
      <x:c r="AM22" t="n">
        <x:v>29.0</x:v>
      </x:c>
      <x:c r="AN22" t="n">
        <x:v>8.0</x:v>
      </x:c>
      <x:c r="AO22" t="n">
        <x:v>27.59</x:v>
      </x:c>
      <x:c r="AP22" t="n">
        <x:v>7.0</x:v>
      </x:c>
      <x:c r="AQ22" t="n">
        <x:v>5.0</x:v>
      </x:c>
      <x:c r="AR22" t="n">
        <x:v>22.0</x:v>
      </x:c>
      <x:c r="AS22" t="n">
        <x:v>70.0</x:v>
      </x:c>
      <x:c r="AT22" t="n">
        <x:v>27.0</x:v>
      </x:c>
      <x:c r="AU22" t="n">
        <x:v>38.57</x:v>
      </x:c>
      <x:c r="AV22" t="n">
        <x:v>0.0</x:v>
      </x:c>
      <x:c r="AW22" t="n">
        <x:v>4.0</x:v>
      </x:c>
      <x:c r="AX22" t="n">
        <x:v>2.0</x:v>
      </x:c>
      <x:c r="AY22" t="n">
        <x:v>50.0</x:v>
      </x:c>
      <x:c r="AZ22" t="n">
        <x:v>54.0</x:v>
      </x:c>
      <x:c r="BA22" t="n">
        <x:v>38.0</x:v>
      </x:c>
      <x:c r="BB22" t="n">
        <x:v>70.37</x:v>
      </x:c>
      <x:c r="BC22" t="n">
        <x:v>11.0</x:v>
      </x:c>
      <x:c r="BD22" t="n">
        <x:v>6.0</x:v>
      </x:c>
      <x:c r="BE22" t="n">
        <x:v>54.55</x:v>
      </x:c>
      <x:c r="BF22" t="n">
        <x:v>1.0</x:v>
      </x:c>
      <x:c r="BG22" t="n">
        <x:v>1.0</x:v>
      </x:c>
      <x:c r="BH22" t="n">
        <x:v>100.0</x:v>
      </x:c>
      <x:c r="BI22" t="n">
        <x:v>26.0</x:v>
      </x:c>
      <x:c r="BJ22" t="n">
        <x:v>4.0</x:v>
      </x:c>
      <x:c r="BK22" t="n">
        <x:v>6.0</x:v>
      </x:c>
      <x:c r="BL22" t="n">
        <x:v>1.0</x:v>
      </x:c>
      <x:c r="BM22" t="n">
        <x:v>0.0</x:v>
      </x:c>
      <x:c r="BN22" t="n">
        <x:v>180.0</x:v>
      </x:c>
      <x:c r="BO22" t="n">
        <x:v>136.0</x:v>
      </x:c>
      <x:c r="BP22" t="n">
        <x:v>75.56</x:v>
      </x:c>
      <x:c r="BQ22" t="n">
        <x:v>46.0</x:v>
      </x:c>
      <x:c r="BR22" t="n">
        <x:v>19.0</x:v>
      </x:c>
      <x:c r="BS22" t="n">
        <x:v>41.3</x:v>
      </x:c>
      <x:c r="BT22" t="n">
        <x:v>78.0</x:v>
      </x:c>
      <x:c r="BU22" t="n">
        <x:v>52.0</x:v>
      </x:c>
      <x:c r="BV22" t="n">
        <x:v>66.67</x:v>
      </x:c>
      <x:c r="BW22" t="n">
        <x:v>75.0</x:v>
      </x:c>
      <x:c r="BX22" t="n">
        <x:v>67.0</x:v>
      </x:c>
      <x:c r="BY22" t="n">
        <x:v>89.33</x:v>
      </x:c>
      <x:c r="BZ22" t="n">
        <x:v>32.0</x:v>
      </x:c>
      <x:c r="CA22" t="n">
        <x:v>29.0</x:v>
      </x:c>
      <x:c r="CB22" t="n">
        <x:v>90.63</x:v>
      </x:c>
      <x:c r="CC22" t="n">
        <x:v>8.74</x:v>
      </x:c>
    </x:row>
    <x:row r="23" ht="12" customHeight="1">
      <x:c r="A23" t="inlineStr">
        <x:is>
          <x:t xml:space="preserve">2026-03-20</x:t>
        </x:is>
      </x:c>
      <x:c r="B23" t="inlineStr">
        <x:is>
          <x:t xml:space="preserve">Perth - UWA Nedlands 6:0</x:t>
        </x:is>
      </x:c>
      <x:c r="C23" t="inlineStr">
        <x:is>
          <x:t xml:space="preserve">Australia. Western Australia NPL Women</x:t>
        </x:is>
      </x:c>
      <x:c r="D23" t="n">
        <x:v>95</x:v>
      </x:c>
      <x:c r="E23" t="inlineStr">
        <x:is>
          <x:t xml:space="preserve">UWA Nedlands</x:t>
        </x:is>
      </x:c>
      <x:c r="F23" t="inlineStr">
        <x:is>
          <x:t xml:space="preserve">3-5-2 (100.0%)</x:t>
        </x:is>
      </x:c>
      <x:c r="G23" t="n">
        <x:v>0</x:v>
      </x:c>
      <x:c r="H23" t="n">
        <x:v>0.1</x:v>
      </x:c>
      <x:c r="I23" t="n">
        <x:v>4.0</x:v>
      </x:c>
      <x:c r="J23" t="n">
        <x:v>2.0</x:v>
      </x:c>
      <x:c r="K23" t="n">
        <x:v>50.0</x:v>
      </x:c>
      <x:c r="L23" t="n">
        <x:v>319.0</x:v>
      </x:c>
      <x:c r="M23" t="n">
        <x:v>229.0</x:v>
      </x:c>
      <x:c r="N23" t="n">
        <x:v>71.79</x:v>
      </x:c>
      <x:c r="O23" t="n">
        <x:v>37.59</x:v>
      </x:c>
      <x:c r="P23" t="n">
        <x:v>126.0</x:v>
      </x:c>
      <x:c r="Q23" t="n">
        <x:v>43.0</x:v>
      </x:c>
      <x:c r="R23" t="n">
        <x:v>62.0</x:v>
      </x:c>
      <x:c r="S23" t="n">
        <x:v>21.0</x:v>
      </x:c>
      <x:c r="T23" t="n">
        <x:v>80.0</x:v>
      </x:c>
      <x:c r="U23" t="n">
        <x:v>48.0</x:v>
      </x:c>
      <x:c r="V23" t="n">
        <x:v>31.0</x:v>
      </x:c>
      <x:c r="W23" t="n">
        <x:v>1.0</x:v>
      </x:c>
      <x:c r="X23" t="n">
        <x:v>155.0</x:v>
      </x:c>
      <x:c r="Y23" t="n">
        <x:v>74.0</x:v>
      </x:c>
      <x:c r="Z23" t="n">
        <x:v>47.74</x:v>
      </x:c>
      <x:c r="AA23" t="n">
        <x:v>4.0</x:v>
      </x:c>
      <x:c r="AB23" t="n">
        <x:v>2.0</x:v>
      </x:c>
      <x:c r="AC23" t="n">
        <x:v>50.0</x:v>
      </x:c>
      <x:c r="AD23" t="n">
        <x:v>6</x:v>
      </x:c>
      <x:c r="AE23" t="n">
        <x:v>2</x:v>
      </x:c>
      <x:c r="AF23" t="n">
        <x:v>33.33</x:v>
      </x:c>
      <x:c r="AG23" t="n">
        <x:v>23</x:v>
      </x:c>
      <x:c r="AH23" t="n">
        <x:v>1</x:v>
      </x:c>
      <x:c r="AI23" t="n">
        <x:v>4.35</x:v>
      </x:c>
      <x:c r="AJ23" t="n">
        <x:v>0.0</x:v>
      </x:c>
      <x:c r="AK23" t="n">
        <x:v>0.0</x:v>
      </x:c>
      <x:c r="AL23" t="n">
        <x:v>0</x:v>
      </x:c>
      <x:c r="AM23" t="n">
        <x:v>2.0</x:v>
      </x:c>
      <x:c r="AN23" t="n">
        <x:v>0.0</x:v>
      </x:c>
      <x:c r="AO23" t="n">
        <x:v>0.0</x:v>
      </x:c>
      <x:c r="AP23" t="n">
        <x:v>0.0</x:v>
      </x:c>
      <x:c r="AQ23" t="n">
        <x:v>2.0</x:v>
      </x:c>
      <x:c r="AR23" t="n">
        <x:v>4.0</x:v>
      </x:c>
      <x:c r="AS23" t="n">
        <x:v>54.0</x:v>
      </x:c>
      <x:c r="AT23" t="n">
        <x:v>16.0</x:v>
      </x:c>
      <x:c r="AU23" t="n">
        <x:v>29.63</x:v>
      </x:c>
      <x:c r="AV23" t="n">
        <x:v>6.0</x:v>
      </x:c>
      <x:c r="AW23" t="n">
        <x:v>20.0</x:v>
      </x:c>
      <x:c r="AX23" t="n">
        <x:v>13.0</x:v>
      </x:c>
      <x:c r="AY23" t="n">
        <x:v>65.0</x:v>
      </x:c>
      <x:c r="AZ23" t="n">
        <x:v>70.0</x:v>
      </x:c>
      <x:c r="BA23" t="n">
        <x:v>43.0</x:v>
      </x:c>
      <x:c r="BB23" t="n">
        <x:v>61.43</x:v>
      </x:c>
      <x:c r="BC23" t="n">
        <x:v>11.0</x:v>
      </x:c>
      <x:c r="BD23" t="n">
        <x:v>4.0</x:v>
      </x:c>
      <x:c r="BE23" t="n">
        <x:v>36.36</x:v>
      </x:c>
      <x:c r="BF23" t="n">
        <x:v>1.0</x:v>
      </x:c>
      <x:c r="BG23" t="n">
        <x:v>1.0</x:v>
      </x:c>
      <x:c r="BH23" t="n">
        <x:v>100.0</x:v>
      </x:c>
      <x:c r="BI23" t="n">
        <x:v>52.0</x:v>
      </x:c>
      <x:c r="BJ23" t="n">
        <x:v>22.0</x:v>
      </x:c>
      <x:c r="BK23" t="n">
        <x:v>3.0</x:v>
      </x:c>
      <x:c r="BL23" t="n">
        <x:v>0.0</x:v>
      </x:c>
      <x:c r="BM23" t="n">
        <x:v>0.0</x:v>
      </x:c>
      <x:c r="BN23" t="n">
        <x:v>132.0</x:v>
      </x:c>
      <x:c r="BO23" t="n">
        <x:v>73.0</x:v>
      </x:c>
      <x:c r="BP23" t="n">
        <x:v>55.3</x:v>
      </x:c>
      <x:c r="BQ23" t="n">
        <x:v>56.0</x:v>
      </x:c>
      <x:c r="BR23" t="n">
        <x:v>27.0</x:v>
      </x:c>
      <x:c r="BS23" t="n">
        <x:v>48.21</x:v>
      </x:c>
      <x:c r="BT23" t="n">
        <x:v>25.0</x:v>
      </x:c>
      <x:c r="BU23" t="n">
        <x:v>13.0</x:v>
      </x:c>
      <x:c r="BV23" t="n">
        <x:v>52.0</x:v>
      </x:c>
      <x:c r="BW23" t="n">
        <x:v>70.0</x:v>
      </x:c>
      <x:c r="BX23" t="n">
        <x:v>20.0</x:v>
      </x:c>
      <x:c r="BY23" t="n">
        <x:v>28.57</x:v>
      </x:c>
      <x:c r="BZ23" t="n">
        <x:v>14.0</x:v>
      </x:c>
      <x:c r="CA23" t="n">
        <x:v>11.0</x:v>
      </x:c>
      <x:c r="CB23" t="n">
        <x:v>78.57</x:v>
      </x:c>
      <x:c r="CC23" t="n">
        <x:v>22.31</x:v>
      </x:c>
    </x:row>
  </x:sheetData>
  <x:mergeCells>
    <x:mergeCell ref="I1:K1"/>
    <x:mergeCell ref="L1:N1"/>
    <x:mergeCell ref="P1:S1"/>
    <x:mergeCell ref="T1:W1"/>
    <x:mergeCell ref="X1:Z1"/>
    <x:mergeCell ref="AA1:AC1"/>
    <x:mergeCell ref="AD1:AF1"/>
    <x:mergeCell ref="AG1:AI1"/>
    <x:mergeCell ref="AJ1:AL1"/>
    <x:mergeCell ref="AM1:AO1"/>
    <x:mergeCell ref="AS1:AU1"/>
    <x:mergeCell ref="AW1:AY1"/>
    <x:mergeCell ref="AZ1:BB1"/>
    <x:mergeCell ref="BC1:BE1"/>
    <x:mergeCell ref="BF1:BH1"/>
    <x:mergeCell ref="BN1:BP1"/>
    <x:mergeCell ref="BQ1:BS1"/>
    <x:mergeCell ref="BT1:BV1"/>
    <x:mergeCell ref="BW1:BY1"/>
    <x:mergeCell ref="BZ1:CB1"/>
    <x:mergeCell ref="A4:A5"/>
    <x:mergeCell ref="B4:B5"/>
    <x:mergeCell ref="C4:C5"/>
    <x:mergeCell ref="D4:D5"/>
    <x:mergeCell ref="A6:A7"/>
    <x:mergeCell ref="B6:B7"/>
    <x:mergeCell ref="C6:C7"/>
    <x:mergeCell ref="D6:D7"/>
    <x:mergeCell ref="A8:A9"/>
    <x:mergeCell ref="B8:B9"/>
    <x:mergeCell ref="C8:C9"/>
    <x:mergeCell ref="D8:D9"/>
    <x:mergeCell ref="A10:A11"/>
    <x:mergeCell ref="B10:B11"/>
    <x:mergeCell ref="C10:C11"/>
    <x:mergeCell ref="D10:D11"/>
    <x:mergeCell ref="A12:A13"/>
    <x:mergeCell ref="B12:B13"/>
    <x:mergeCell ref="C12:C13"/>
    <x:mergeCell ref="D12:D13"/>
    <x:mergeCell ref="A14:A15"/>
    <x:mergeCell ref="B14:B15"/>
    <x:mergeCell ref="C14:C15"/>
    <x:mergeCell ref="D14:D15"/>
    <x:mergeCell ref="A16:A17"/>
    <x:mergeCell ref="B16:B17"/>
    <x:mergeCell ref="C16:C17"/>
    <x:mergeCell ref="D16:D17"/>
    <x:mergeCell ref="A18:A19"/>
    <x:mergeCell ref="B18:B19"/>
    <x:mergeCell ref="C18:C19"/>
    <x:mergeCell ref="D18:D19"/>
    <x:mergeCell ref="A20:A21"/>
    <x:mergeCell ref="B20:B21"/>
    <x:mergeCell ref="C20:C21"/>
    <x:mergeCell ref="D20:D21"/>
    <x:mergeCell ref="A22:A23"/>
    <x:mergeCell ref="B22:B23"/>
    <x:mergeCell ref="C22:C23"/>
    <x:mergeCell ref="D22:D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2" hidden="0" customWidth="1"/>
    <x:col min="3" max="3" width="26" hidden="0" customWidth="1"/>
    <x:col min="4" max="4" width="32" hidden="0" customWidth="1"/>
    <x:col min="5" max="5" width="7.21999979019165" hidden="0" customWidth="1"/>
    <x:col min="6" max="6" width="11.5600004196167" hidden="0" customWidth="1"/>
    <x:col min="7" max="7" width="12.779999732971191" hidden="0" customWidth="1"/>
    <x:col min="8" max="8" width="5" hidden="0" customWidth="1"/>
    <x:col min="9" max="9" width="3.6700000762939453" hidden="0" customWidth="1"/>
    <x:col min="10" max="10" width="5" hidden="0" customWidth="1"/>
    <x:col min="11" max="11" width="13.329999923706055" hidden="0" customWidth="1"/>
    <x:col min="12" max="12" width="12" hidden="0" customWidth="1"/>
    <x:col min="13" max="13" width="6.110000133514404" hidden="0" customWidth="1"/>
    <x:col min="14" max="14" width="13.670000076293945" hidden="0" customWidth="1"/>
    <x:col min="15" max="15" width="13.109999656677246" hidden="0" customWidth="1"/>
    <x:col min="16" max="16" width="12.890000343322754" hidden="0" customWidth="1"/>
    <x:col min="17" max="17" width="10.4399995803833" hidden="0" customWidth="1"/>
    <x:col min="18" max="18" width="9.779999732971191" hidden="0" customWidth="1"/>
    <x:col min="19" max="19" width="13.220000267028809" hidden="0" customWidth="1"/>
    <x:col min="20" max="20" width="10.4399995803833" hidden="0" customWidth="1"/>
    <x:col min="21" max="21" width="13.5600004196167" hidden="0" customWidth="1"/>
    <x:col min="22" max="22" width="12.779999732971191" hidden="0" customWidth="1"/>
    <x:col min="23" max="23" width="16.329999923706055" hidden="0" customWidth="1"/>
    <x:col min="24" max="24" width="13.5600004196167" hidden="0" customWidth="1"/>
    <x:col min="25" max="25" width="9.220000267028809" hidden="0" customWidth="1"/>
    <x:col min="26" max="26" width="9.109999656677246" hidden="0" customWidth="1"/>
    <x:col min="27" max="27" width="12.4399995803833" hidden="0" customWidth="1"/>
  </x:cols>
  <x:sheetData>
    <x:row r="1">
      <x:c r="A1" s="11" t="str">
        <x:v>Round</x:v>
      </x:c>
      <x:c r="B1" s="11" t="str">
        <x:v>Date</x:v>
      </x:c>
      <x:c r="C1" s="11" t="str">
        <x:v>Match</x:v>
      </x:c>
      <x:c r="D1" s="11" t="str">
        <x:v>Competition</x:v>
      </x:c>
      <x:c r="E1" s="11" t="str">
        <x:v>Duration</x:v>
      </x:c>
      <x:c r="F1" s="11" t="str">
        <x:v>Team</x:v>
      </x:c>
      <x:c r="G1" s="11" t="str">
        <x:v>Scheme</x:v>
      </x:c>
      <x:c r="H1" s="11" t="str">
        <x:v>Goals</x:v>
      </x:c>
      <x:c r="I1" s="11" t="str">
        <x:v>xG</x:v>
      </x:c>
      <x:c r="J1" s="11" t="str">
        <x:v>Shots</x:v>
      </x:c>
      <x:c r="K1" s="11" t="str">
        <x:v>Shots_on_target</x:v>
      </x:c>
      <x:c r="L1" s="11" t="str">
        <x:v>Shots_acc_pct</x:v>
      </x:c>
      <x:c r="M1" s="11" t="str">
        <x:v>Passes</x:v>
      </x:c>
      <x:c r="N1" s="11" t="str">
        <x:v>Passes_accurate</x:v>
      </x:c>
      <x:c r="O1" s="11" t="str">
        <x:v>Passes_acc_pct</x:v>
      </x:c>
      <x:c r="P1" s="11" t="str">
        <x:v>Possession_pct</x:v>
      </x:c>
      <x:c r="Q1" s="11" t="str">
        <x:v>Losses_total</x:v>
      </x:c>
      <x:c r="R1" s="11" t="str">
        <x:v>Losses_low</x:v>
      </x:c>
      <x:c r="S1" s="11" t="str">
        <x:v>Losses_medium</x:v>
      </x:c>
      <x:c r="T1" s="11" t="str">
        <x:v>Losses_high</x:v>
      </x:c>
      <x:c r="U1" s="11" t="str">
        <x:v>Recoveries_total</x:v>
      </x:c>
      <x:c r="V1" s="11" t="str">
        <x:v>Recoveries_low</x:v>
      </x:c>
      <x:c r="W1" s="11" t="str">
        <x:v>Recoveries_medium</x:v>
      </x:c>
      <x:c r="X1" s="11" t="str">
        <x:v>Recoveries_high</x:v>
      </x:c>
      <x:c r="Y1" s="11" t="str">
        <x:v>Duels_total</x:v>
      </x:c>
      <x:c r="Z1" s="11" t="str">
        <x:v>Duels_won</x:v>
      </x:c>
      <x:c r="AA1" s="11" t="str">
        <x:v>Duels_won_pct</x:v>
      </x:c>
    </x:row>
    <x:row r="2">
      <x:c r="A2" t="n">
        <x:v>1</x:v>
      </x:c>
      <x:c r="B2" t="str">
        <x:v>2026-03-20</x:v>
      </x:c>
      <x:c r="C2" t="str">
        <x:v>Perth - UWA Nedlands 6:0</x:v>
      </x:c>
      <x:c r="D2" t="str">
        <x:v>Australia. Western Australia NPL Women</x:v>
      </x:c>
      <x:c r="E2" t="n">
        <x:v>95</x:v>
      </x:c>
      <x:c r="F2" t="str">
        <x:v>Perth</x:v>
      </x:c>
      <x:c r="G2" t="str">
        <x:v>4-3-3 (100.0%)</x:v>
      </x:c>
      <x:c r="H2" t="n">
        <x:v>6</x:v>
      </x:c>
      <x:c r="I2" t="n">
        <x:v>1.77</x:v>
      </x:c>
      <x:c r="J2" t="n">
        <x:v>20</x:v>
      </x:c>
      <x:c r="K2" t="n">
        <x:v>11</x:v>
      </x:c>
      <x:c r="L2" t="n">
        <x:v>55</x:v>
      </x:c>
      <x:c r="M2" t="n">
        <x:v>514</x:v>
      </x:c>
      <x:c r="N2" t="n">
        <x:v>411</x:v>
      </x:c>
      <x:c r="O2" t="n">
        <x:v>79.96</x:v>
      </x:c>
      <x:c r="P2" t="n">
        <x:v>62.41</x:v>
      </x:c>
      <x:c r="Q2" t="n">
        <x:v>132</x:v>
      </x:c>
      <x:c r="R2" t="n">
        <x:v>4</x:v>
      </x:c>
      <x:c r="S2" t="n">
        <x:v>27</x:v>
      </x:c>
      <x:c r="T2" t="n">
        <x:v>101</x:v>
      </x:c>
      <x:c r="U2" t="n">
        <x:v>95</x:v>
      </x:c>
      <x:c r="V2" t="n">
        <x:v>19</x:v>
      </x:c>
      <x:c r="W2" t="n">
        <x:v>44</x:v>
      </x:c>
      <x:c r="X2" t="n">
        <x:v>32</x:v>
      </x:c>
      <x:c r="Y2" t="n">
        <x:v>155</x:v>
      </x:c>
      <x:c r="Z2" t="n">
        <x:v>78</x:v>
      </x:c>
      <x:c r="AA2" t="n">
        <x:v>50.32</x:v>
      </x:c>
    </x:row>
    <x:row r="3">
      <x:c r="A3" t="n">
        <x:v>1</x:v>
      </x:c>
      <x:c r="B3" t="str">
        <x:v>2026-03-20</x:v>
      </x:c>
      <x:c r="C3" t="str">
        <x:v>Perth - UWA Nedlands 6:0</x:v>
      </x:c>
      <x:c r="D3" t="str">
        <x:v>Australia. Western Australia NPL Women</x:v>
      </x:c>
      <x:c r="E3" t="n">
        <x:v>95</x:v>
      </x:c>
      <x:c r="F3" t="str">
        <x:v>UWA Nedlands</x:v>
      </x:c>
      <x:c r="G3" t="str">
        <x:v>3-5-2 (100.0%)</x:v>
      </x:c>
      <x:c r="H3" t="n">
        <x:v>0</x:v>
      </x:c>
      <x:c r="I3" t="n">
        <x:v>0.1</x:v>
      </x:c>
      <x:c r="J3" t="n">
        <x:v>4</x:v>
      </x:c>
      <x:c r="K3" t="n">
        <x:v>2</x:v>
      </x:c>
      <x:c r="L3" t="n">
        <x:v>50</x:v>
      </x:c>
      <x:c r="M3" t="n">
        <x:v>319</x:v>
      </x:c>
      <x:c r="N3" t="n">
        <x:v>229</x:v>
      </x:c>
      <x:c r="O3" t="n">
        <x:v>71.79</x:v>
      </x:c>
      <x:c r="P3" t="n">
        <x:v>37.59</x:v>
      </x:c>
      <x:c r="Q3" t="n">
        <x:v>126</x:v>
      </x:c>
      <x:c r="R3" t="n">
        <x:v>43</x:v>
      </x:c>
      <x:c r="S3" t="n">
        <x:v>62</x:v>
      </x:c>
      <x:c r="T3" t="n">
        <x:v>21</x:v>
      </x:c>
      <x:c r="U3" t="n">
        <x:v>80</x:v>
      </x:c>
      <x:c r="V3" t="n">
        <x:v>48</x:v>
      </x:c>
      <x:c r="W3" t="n">
        <x:v>31</x:v>
      </x:c>
      <x:c r="X3" t="n">
        <x:v>1</x:v>
      </x:c>
      <x:c r="Y3" t="n">
        <x:v>155</x:v>
      </x:c>
      <x:c r="Z3" t="n">
        <x:v>74</x:v>
      </x:c>
      <x:c r="AA3" t="n">
        <x:v>47.74</x:v>
      </x:c>
    </x:row>
    <x:row r="4">
      <x:c r="A4" t="n">
        <x:v>2</x:v>
      </x:c>
      <x:c r="B4" t="str">
        <x:v>2026-03-29</x:v>
      </x:c>
      <x:c r="C4" t="str">
        <x:v>Perth - Subiaco 2:0</x:v>
      </x:c>
      <x:c r="D4" t="str">
        <x:v>Australia. Western Australia NPL Women</x:v>
      </x:c>
      <x:c r="E4" t="n">
        <x:v>96</x:v>
      </x:c>
      <x:c r="F4" t="str">
        <x:v>Perth</x:v>
      </x:c>
      <x:c r="G4" t="str">
        <x:v>4-2-3-1 (100.0%)</x:v>
      </x:c>
      <x:c r="H4" t="n">
        <x:v>2</x:v>
      </x:c>
      <x:c r="I4" t="n">
        <x:v>1.74</x:v>
      </x:c>
      <x:c r="J4" t="n">
        <x:v>18</x:v>
      </x:c>
      <x:c r="K4" t="n">
        <x:v>8</x:v>
      </x:c>
      <x:c r="L4" t="n">
        <x:v>44.44</x:v>
      </x:c>
      <x:c r="M4" t="n">
        <x:v>429</x:v>
      </x:c>
      <x:c r="N4" t="n">
        <x:v>308</x:v>
      </x:c>
      <x:c r="O4" t="n">
        <x:v>71.79</x:v>
      </x:c>
      <x:c r="P4" t="n">
        <x:v>50.98</x:v>
      </x:c>
      <x:c r="Q4" t="n">
        <x:v>167</x:v>
      </x:c>
      <x:c r="R4" t="n">
        <x:v>38</x:v>
      </x:c>
      <x:c r="S4" t="n">
        <x:v>51</x:v>
      </x:c>
      <x:c r="T4" t="n">
        <x:v>78</x:v>
      </x:c>
      <x:c r="U4" t="n">
        <x:v>106</x:v>
      </x:c>
      <x:c r="V4" t="n">
        <x:v>51</x:v>
      </x:c>
      <x:c r="W4" t="n">
        <x:v>44</x:v>
      </x:c>
      <x:c r="X4" t="n">
        <x:v>11</x:v>
      </x:c>
      <x:c r="Y4" t="n">
        <x:v>170</x:v>
      </x:c>
      <x:c r="Z4" t="n">
        <x:v>81</x:v>
      </x:c>
      <x:c r="AA4" t="n">
        <x:v>47.65</x:v>
      </x:c>
    </x:row>
    <x:row r="5">
      <x:c r="A5" t="n">
        <x:v>2</x:v>
      </x:c>
      <x:c r="B5" t="str">
        <x:v>2026-03-29</x:v>
      </x:c>
      <x:c r="C5" t="str">
        <x:v>Perth - Subiaco 2:0</x:v>
      </x:c>
      <x:c r="D5" t="str">
        <x:v>Australia. Western Australia NPL Women</x:v>
      </x:c>
      <x:c r="E5" t="n">
        <x:v>96</x:v>
      </x:c>
      <x:c r="F5" t="str">
        <x:v>Subiaco</x:v>
      </x:c>
      <x:c r="G5" t="str">
        <x:v>4-4-2 (49.52%)</x:v>
      </x:c>
      <x:c r="H5" t="n">
        <x:v>0</x:v>
      </x:c>
      <x:c r="I5" t="n">
        <x:v>1.31</x:v>
      </x:c>
      <x:c r="J5" t="n">
        <x:v>15</x:v>
      </x:c>
      <x:c r="K5" t="n">
        <x:v>3</x:v>
      </x:c>
      <x:c r="L5" t="n">
        <x:v>20</x:v>
      </x:c>
      <x:c r="M5" t="n">
        <x:v>382</x:v>
      </x:c>
      <x:c r="N5" t="n">
        <x:v>260</x:v>
      </x:c>
      <x:c r="O5" t="n">
        <x:v>68.06</x:v>
      </x:c>
      <x:c r="P5" t="n">
        <x:v>49.02</x:v>
      </x:c>
      <x:c r="Q5" t="n">
        <x:v>154</x:v>
      </x:c>
      <x:c r="R5" t="n">
        <x:v>21</x:v>
      </x:c>
      <x:c r="S5" t="n">
        <x:v>68</x:v>
      </x:c>
      <x:c r="T5" t="n">
        <x:v>65</x:v>
      </x:c>
      <x:c r="U5" t="n">
        <x:v>94</x:v>
      </x:c>
      <x:c r="V5" t="n">
        <x:v>46</x:v>
      </x:c>
      <x:c r="W5" t="n">
        <x:v>26</x:v>
      </x:c>
      <x:c r="X5" t="n">
        <x:v>22</x:v>
      </x:c>
      <x:c r="Y5" t="n">
        <x:v>170</x:v>
      </x:c>
      <x:c r="Z5" t="n">
        <x:v>88</x:v>
      </x:c>
      <x:c r="AA5" t="n">
        <x:v>51.76</x:v>
      </x:c>
    </x:row>
    <x:row r="6">
      <x:c r="A6" t="n">
        <x:v>3</x:v>
      </x:c>
      <x:c r="B6" t="str">
        <x:v>2026-04-06</x:v>
      </x:c>
      <x:c r="C6" t="str">
        <x:v>Sorrento - Perth 0:2</x:v>
      </x:c>
      <x:c r="D6" t="str">
        <x:v>Australia. Western Australia NPL Women</x:v>
      </x:c>
      <x:c r="E6" t="n">
        <x:v>94</x:v>
      </x:c>
      <x:c r="F6" t="str">
        <x:v>Perth</x:v>
      </x:c>
      <x:c r="G6" t="str">
        <x:v>4-1-4-1 (100.0%)</x:v>
      </x:c>
      <x:c r="H6" t="n">
        <x:v>2</x:v>
      </x:c>
      <x:c r="I6" t="n">
        <x:v>1.84</x:v>
      </x:c>
      <x:c r="J6" t="n">
        <x:v>30</x:v>
      </x:c>
      <x:c r="K6" t="n">
        <x:v>8</x:v>
      </x:c>
      <x:c r="L6" t="n">
        <x:v>26.67</x:v>
      </x:c>
      <x:c r="M6" t="n">
        <x:v>472</x:v>
      </x:c>
      <x:c r="N6" t="n">
        <x:v>372</x:v>
      </x:c>
      <x:c r="O6" t="n">
        <x:v>78.81</x:v>
      </x:c>
      <x:c r="P6" t="n">
        <x:v>59.94</x:v>
      </x:c>
      <x:c r="Q6" t="n">
        <x:v>112</x:v>
      </x:c>
      <x:c r="R6" t="n">
        <x:v>10</x:v>
      </x:c>
      <x:c r="S6" t="n">
        <x:v>35</x:v>
      </x:c>
      <x:c r="T6" t="n">
        <x:v>67</x:v>
      </x:c>
      <x:c r="U6" t="n">
        <x:v>100</x:v>
      </x:c>
      <x:c r="V6" t="n">
        <x:v>19</x:v>
      </x:c>
      <x:c r="W6" t="n">
        <x:v>54</x:v>
      </x:c>
      <x:c r="X6" t="n">
        <x:v>27</x:v>
      </x:c>
      <x:c r="Y6" t="n">
        <x:v>198</x:v>
      </x:c>
      <x:c r="Z6" t="n">
        <x:v>121</x:v>
      </x:c>
      <x:c r="AA6" t="n">
        <x:v>61.11</x:v>
      </x:c>
    </x:row>
    <x:row r="7">
      <x:c r="A7" t="n">
        <x:v>3</x:v>
      </x:c>
      <x:c r="B7" t="str">
        <x:v>2026-04-06</x:v>
      </x:c>
      <x:c r="C7" t="str">
        <x:v>Sorrento - Perth 0:2</x:v>
      </x:c>
      <x:c r="D7" t="str">
        <x:v>Australia. Western Australia NPL Women</x:v>
      </x:c>
      <x:c r="E7" t="n">
        <x:v>94</x:v>
      </x:c>
      <x:c r="F7" t="str">
        <x:v>Sorrento</x:v>
      </x:c>
      <x:c r="G7" t="str">
        <x:v>4-5-1 (100.0%)</x:v>
      </x:c>
      <x:c r="H7" t="n">
        <x:v>0</x:v>
      </x:c>
      <x:c r="I7" t="n">
        <x:v>0.4</x:v>
      </x:c>
      <x:c r="J7" t="n">
        <x:v>7</x:v>
      </x:c>
      <x:c r="K7" t="n">
        <x:v>2</x:v>
      </x:c>
      <x:c r="L7" t="n">
        <x:v>28.57</x:v>
      </x:c>
      <x:c r="M7" t="n">
        <x:v>316</x:v>
      </x:c>
      <x:c r="N7" t="n">
        <x:v>221</x:v>
      </x:c>
      <x:c r="O7" t="n">
        <x:v>69.94</x:v>
      </x:c>
      <x:c r="P7" t="n">
        <x:v>40.06</x:v>
      </x:c>
      <x:c r="Q7" t="n">
        <x:v>134</x:v>
      </x:c>
      <x:c r="R7" t="n">
        <x:v>38</x:v>
      </x:c>
      <x:c r="S7" t="n">
        <x:v>68</x:v>
      </x:c>
      <x:c r="T7" t="n">
        <x:v>28</x:v>
      </x:c>
      <x:c r="U7" t="n">
        <x:v>72</x:v>
      </x:c>
      <x:c r="V7" t="n">
        <x:v>44</x:v>
      </x:c>
      <x:c r="W7" t="n">
        <x:v>20</x:v>
      </x:c>
      <x:c r="X7" t="n">
        <x:v>8</x:v>
      </x:c>
      <x:c r="Y7" t="n">
        <x:v>198</x:v>
      </x:c>
      <x:c r="Z7" t="n">
        <x:v>74</x:v>
      </x:c>
      <x:c r="AA7" t="n">
        <x:v>37.37</x:v>
      </x:c>
    </x:row>
    <x:row r="8">
      <x:c r="A8" t="n">
        <x:v>4</x:v>
      </x:c>
      <x:c r="B8" t="str">
        <x:v>2026-04-10</x:v>
      </x:c>
      <x:c r="C8" t="str">
        <x:v>Perth - Fremantle City 0:0</x:v>
      </x:c>
      <x:c r="D8" t="str">
        <x:v>Australia. Western Australia NPL Women</x:v>
      </x:c>
      <x:c r="E8" t="n">
        <x:v>95</x:v>
      </x:c>
      <x:c r="F8" t="str">
        <x:v>Perth</x:v>
      </x:c>
      <x:c r="G8" t="str">
        <x:v>4-2-3-1 (48.4%)</x:v>
      </x:c>
      <x:c r="H8" t="n">
        <x:v>0</x:v>
      </x:c>
      <x:c r="I8" t="n">
        <x:v>0.53</x:v>
      </x:c>
      <x:c r="J8" t="n">
        <x:v>10</x:v>
      </x:c>
      <x:c r="K8" t="n">
        <x:v>3</x:v>
      </x:c>
      <x:c r="L8" t="n">
        <x:v>30</x:v>
      </x:c>
      <x:c r="M8" t="n">
        <x:v>516</x:v>
      </x:c>
      <x:c r="N8" t="n">
        <x:v>416</x:v>
      </x:c>
      <x:c r="O8" t="n">
        <x:v>80.62</x:v>
      </x:c>
      <x:c r="P8" t="n">
        <x:v>51.92</x:v>
      </x:c>
      <x:c r="Q8" t="n">
        <x:v>128</x:v>
      </x:c>
      <x:c r="R8" t="n">
        <x:v>18</x:v>
      </x:c>
      <x:c r="S8" t="n">
        <x:v>53</x:v>
      </x:c>
      <x:c r="T8" t="n">
        <x:v>57</x:v>
      </x:c>
      <x:c r="U8" t="n">
        <x:v>97</x:v>
      </x:c>
      <x:c r="V8" t="n">
        <x:v>54</x:v>
      </x:c>
      <x:c r="W8" t="n">
        <x:v>32</x:v>
      </x:c>
      <x:c r="X8" t="n">
        <x:v>11</x:v>
      </x:c>
      <x:c r="Y8" t="n">
        <x:v>173</x:v>
      </x:c>
      <x:c r="Z8" t="n">
        <x:v>87</x:v>
      </x:c>
      <x:c r="AA8" t="n">
        <x:v>50.29</x:v>
      </x:c>
    </x:row>
    <x:row r="9">
      <x:c r="A9" t="n">
        <x:v>4</x:v>
      </x:c>
      <x:c r="B9" t="str">
        <x:v>2026-04-10</x:v>
      </x:c>
      <x:c r="C9" t="str">
        <x:v>Perth - Fremantle City 0:0</x:v>
      </x:c>
      <x:c r="D9" t="str">
        <x:v>Australia. Western Australia NPL Women</x:v>
      </x:c>
      <x:c r="E9" t="n">
        <x:v>95</x:v>
      </x:c>
      <x:c r="F9" t="str">
        <x:v>Fremantle City</x:v>
      </x:c>
      <x:c r="G9" t="str">
        <x:v>4-2-3-1 (100.0%)</x:v>
      </x:c>
      <x:c r="H9" t="n">
        <x:v>0</x:v>
      </x:c>
      <x:c r="I9" t="n">
        <x:v>0.39</x:v>
      </x:c>
      <x:c r="J9" t="n">
        <x:v>8</x:v>
      </x:c>
      <x:c r="K9" t="n">
        <x:v>0</x:v>
      </x:c>
      <x:c r="L9" t="n">
        <x:v>0</x:v>
      </x:c>
      <x:c r="M9" t="n">
        <x:v>417</x:v>
      </x:c>
      <x:c r="N9" t="n">
        <x:v>314</x:v>
      </x:c>
      <x:c r="O9" t="n">
        <x:v>75.3</x:v>
      </x:c>
      <x:c r="P9" t="n">
        <x:v>48.08</x:v>
      </x:c>
      <x:c r="Q9" t="n">
        <x:v>144</x:v>
      </x:c>
      <x:c r="R9" t="n">
        <x:v>26</x:v>
      </x:c>
      <x:c r="S9" t="n">
        <x:v>35</x:v>
      </x:c>
      <x:c r="T9" t="n">
        <x:v>83</x:v>
      </x:c>
      <x:c r="U9" t="n">
        <x:v>79</x:v>
      </x:c>
      <x:c r="V9" t="n">
        <x:v>36</x:v>
      </x:c>
      <x:c r="W9" t="n">
        <x:v>38</x:v>
      </x:c>
      <x:c r="X9" t="n">
        <x:v>5</x:v>
      </x:c>
      <x:c r="Y9" t="n">
        <x:v>173</x:v>
      </x:c>
      <x:c r="Z9" t="n">
        <x:v>81</x:v>
      </x:c>
      <x:c r="AA9" t="n">
        <x:v>46.82</x:v>
      </x:c>
    </x:row>
    <x:row r="10">
      <x:c r="A10" t="n">
        <x:v>5</x:v>
      </x:c>
      <x:c r="B10" t="str">
        <x:v>2026-04-17</x:v>
      </x:c>
      <x:c r="C10" t="str">
        <x:v>Perth - Balcatta 0:0</x:v>
      </x:c>
      <x:c r="D10" t="str">
        <x:v>Australia. Western Australia NPL Women</x:v>
      </x:c>
      <x:c r="E10" t="n">
        <x:v>99</x:v>
      </x:c>
      <x:c r="F10" t="str">
        <x:v>Perth</x:v>
      </x:c>
      <x:c r="G10" t="str">
        <x:v>4-1-4-1 (100.0%)</x:v>
      </x:c>
      <x:c r="H10" t="n">
        <x:v>0</x:v>
      </x:c>
      <x:c r="I10" t="n">
        <x:v>1.24</x:v>
      </x:c>
      <x:c r="J10" t="n">
        <x:v>13</x:v>
      </x:c>
      <x:c r="K10" t="n">
        <x:v>4</x:v>
      </x:c>
      <x:c r="L10" t="n">
        <x:v>30.77</x:v>
      </x:c>
      <x:c r="M10" t="n">
        <x:v>391</x:v>
      </x:c>
      <x:c r="N10" t="n">
        <x:v>281</x:v>
      </x:c>
      <x:c r="O10" t="n">
        <x:v>71.87</x:v>
      </x:c>
      <x:c r="P10" t="n">
        <x:v>39.92</x:v>
      </x:c>
      <x:c r="Q10" t="n">
        <x:v>137</x:v>
      </x:c>
      <x:c r="R10" t="n">
        <x:v>17</x:v>
      </x:c>
      <x:c r="S10" t="n">
        <x:v>60</x:v>
      </x:c>
      <x:c r="T10" t="n">
        <x:v>60</x:v>
      </x:c>
      <x:c r="U10" t="n">
        <x:v>115</x:v>
      </x:c>
      <x:c r="V10" t="n">
        <x:v>55</x:v>
      </x:c>
      <x:c r="W10" t="n">
        <x:v>37</x:v>
      </x:c>
      <x:c r="X10" t="n">
        <x:v>23</x:v>
      </x:c>
      <x:c r="Y10" t="n">
        <x:v>200</x:v>
      </x:c>
      <x:c r="Z10" t="n">
        <x:v>98</x:v>
      </x:c>
      <x:c r="AA10" t="n">
        <x:v>49</x:v>
      </x:c>
    </x:row>
    <x:row r="11">
      <x:c r="A11" t="n">
        <x:v>5</x:v>
      </x:c>
      <x:c r="B11" t="str">
        <x:v>2026-04-17</x:v>
      </x:c>
      <x:c r="C11" t="str">
        <x:v>Perth - Balcatta 0:0</x:v>
      </x:c>
      <x:c r="D11" t="str">
        <x:v>Australia. Western Australia NPL Women</x:v>
      </x:c>
      <x:c r="E11" t="n">
        <x:v>99</x:v>
      </x:c>
      <x:c r="F11" t="str">
        <x:v>Balcatta</x:v>
      </x:c>
      <x:c r="G11" t="str">
        <x:v>4-4-1-1 (100.0%)</x:v>
      </x:c>
      <x:c r="H11" t="n">
        <x:v>0</x:v>
      </x:c>
      <x:c r="I11" t="n">
        <x:v>0.73</x:v>
      </x:c>
      <x:c r="J11" t="n">
        <x:v>10</x:v>
      </x:c>
      <x:c r="K11" t="n">
        <x:v>4</x:v>
      </x:c>
      <x:c r="L11" t="n">
        <x:v>40</x:v>
      </x:c>
      <x:c r="M11" t="n">
        <x:v>503</x:v>
      </x:c>
      <x:c r="N11" t="n">
        <x:v>371</x:v>
      </x:c>
      <x:c r="O11" t="n">
        <x:v>73.76</x:v>
      </x:c>
      <x:c r="P11" t="n">
        <x:v>60.08</x:v>
      </x:c>
      <x:c r="Q11" t="n">
        <x:v>162</x:v>
      </x:c>
      <x:c r="R11" t="n">
        <x:v>31</x:v>
      </x:c>
      <x:c r="S11" t="n">
        <x:v>52</x:v>
      </x:c>
      <x:c r="T11" t="n">
        <x:v>79</x:v>
      </x:c>
      <x:c r="U11" t="n">
        <x:v>104</x:v>
      </x:c>
      <x:c r="V11" t="n">
        <x:v>41</x:v>
      </x:c>
      <x:c r="W11" t="n">
        <x:v>53</x:v>
      </x:c>
      <x:c r="X11" t="n">
        <x:v>10</x:v>
      </x:c>
      <x:c r="Y11" t="n">
        <x:v>200</x:v>
      </x:c>
      <x:c r="Z11" t="n">
        <x:v>99</x:v>
      </x:c>
      <x:c r="AA11" t="n">
        <x:v>49.5</x:v>
      </x:c>
    </x:row>
    <x:row r="12">
      <x:c r="A12" t="n">
        <x:v>6</x:v>
      </x:c>
      <x:c r="B12" t="str">
        <x:v>2026-04-26</x:v>
      </x:c>
      <x:c r="C12" t="str">
        <x:v>UWA Nedlands - Perth 1:3</x:v>
      </x:c>
      <x:c r="D12" t="str">
        <x:v>Australia. Western Australia NPL Women</x:v>
      </x:c>
      <x:c r="E12" t="n">
        <x:v>93</x:v>
      </x:c>
      <x:c r="F12" t="str">
        <x:v>Perth</x:v>
      </x:c>
      <x:c r="G12" t="str">
        <x:v>4-3-3 (100.0%)</x:v>
      </x:c>
      <x:c r="H12" t="n">
        <x:v>3</x:v>
      </x:c>
      <x:c r="I12" t="n">
        <x:v>1.68</x:v>
      </x:c>
      <x:c r="J12" t="n">
        <x:v>17</x:v>
      </x:c>
      <x:c r="K12" t="n">
        <x:v>8</x:v>
      </x:c>
      <x:c r="L12" t="n">
        <x:v>47.06</x:v>
      </x:c>
      <x:c r="M12" t="n">
        <x:v>366</x:v>
      </x:c>
      <x:c r="N12" t="n">
        <x:v>250</x:v>
      </x:c>
      <x:c r="O12" t="n">
        <x:v>68.31</x:v>
      </x:c>
      <x:c r="P12" t="n">
        <x:v>52</x:v>
      </x:c>
      <x:c r="Q12" t="n">
        <x:v>113</x:v>
      </x:c>
      <x:c r="R12" t="n">
        <x:v>10</x:v>
      </x:c>
      <x:c r="S12" t="n">
        <x:v>41</x:v>
      </x:c>
      <x:c r="T12" t="n">
        <x:v>62</x:v>
      </x:c>
      <x:c r="U12" t="n">
        <x:v>92</x:v>
      </x:c>
      <x:c r="V12" t="n">
        <x:v>29</x:v>
      </x:c>
      <x:c r="W12" t="n">
        <x:v>39</x:v>
      </x:c>
      <x:c r="X12" t="n">
        <x:v>24</x:v>
      </x:c>
      <x:c r="Y12" t="n">
        <x:v>203</x:v>
      </x:c>
      <x:c r="Z12" t="n">
        <x:v>106</x:v>
      </x:c>
      <x:c r="AA12" t="n">
        <x:v>52.22</x:v>
      </x:c>
    </x:row>
    <x:row r="13">
      <x:c r="A13" t="n">
        <x:v>6</x:v>
      </x:c>
      <x:c r="B13" t="str">
        <x:v>2026-04-26</x:v>
      </x:c>
      <x:c r="C13" t="str">
        <x:v>UWA Nedlands - Perth 1:3</x:v>
      </x:c>
      <x:c r="D13" t="str">
        <x:v>Australia. Western Australia NPL Women</x:v>
      </x:c>
      <x:c r="E13" t="n">
        <x:v>93</x:v>
      </x:c>
      <x:c r="F13" t="str">
        <x:v>UWA Nedlands</x:v>
      </x:c>
      <x:c r="G13" t="str">
        <x:v>4-2-3-1 (100.0%)</x:v>
      </x:c>
      <x:c r="H13" t="n">
        <x:v>1</x:v>
      </x:c>
      <x:c r="I13" t="n">
        <x:v>0.23</x:v>
      </x:c>
      <x:c r="J13" t="n">
        <x:v>4</x:v>
      </x:c>
      <x:c r="K13" t="n">
        <x:v>4</x:v>
      </x:c>
      <x:c r="L13" t="n">
        <x:v>100</x:v>
      </x:c>
      <x:c r="M13" t="n">
        <x:v>281</x:v>
      </x:c>
      <x:c r="N13" t="n">
        <x:v>185</x:v>
      </x:c>
      <x:c r="O13" t="n">
        <x:v>65.84</x:v>
      </x:c>
      <x:c r="P13" t="n">
        <x:v>48</x:v>
      </x:c>
      <x:c r="Q13" t="n">
        <x:v>150</x:v>
      </x:c>
      <x:c r="R13" t="n">
        <x:v>33</x:v>
      </x:c>
      <x:c r="S13" t="n">
        <x:v>67</x:v>
      </x:c>
      <x:c r="T13" t="n">
        <x:v>50</x:v>
      </x:c>
      <x:c r="U13" t="n">
        <x:v>75</x:v>
      </x:c>
      <x:c r="V13" t="n">
        <x:v>40</x:v>
      </x:c>
      <x:c r="W13" t="n">
        <x:v>31</x:v>
      </x:c>
      <x:c r="X13" t="n">
        <x:v>4</x:v>
      </x:c>
      <x:c r="Y13" t="n">
        <x:v>203</x:v>
      </x:c>
      <x:c r="Z13" t="n">
        <x:v>93</x:v>
      </x:c>
      <x:c r="AA13" t="n">
        <x:v>45.81</x:v>
      </x:c>
    </x:row>
    <x:row r="14">
      <x:c r="A14" t="n">
        <x:v>7</x:v>
      </x:c>
      <x:c r="B14" t="str">
        <x:v>2026-05-02</x:v>
      </x:c>
      <x:c r="C14" t="str">
        <x:v>Perth - Perth RedStar 1:1</x:v>
      </x:c>
      <x:c r="D14" t="str">
        <x:v>Australia. Western Australia NPL Women</x:v>
      </x:c>
      <x:c r="E14" t="n">
        <x:v>96</x:v>
      </x:c>
      <x:c r="F14" t="str">
        <x:v>Perth</x:v>
      </x:c>
      <x:c r="G14" t="str">
        <x:v>4-1-4-1 (100.0%)</x:v>
      </x:c>
      <x:c r="H14" t="n">
        <x:v>1</x:v>
      </x:c>
      <x:c r="I14" t="n">
        <x:v>1.38</x:v>
      </x:c>
      <x:c r="J14" t="n">
        <x:v>11</x:v>
      </x:c>
      <x:c r="K14" t="n">
        <x:v>6</x:v>
      </x:c>
      <x:c r="L14" t="n">
        <x:v>54.55</x:v>
      </x:c>
      <x:c r="M14" t="n">
        <x:v>386</x:v>
      </x:c>
      <x:c r="N14" t="n">
        <x:v>280</x:v>
      </x:c>
      <x:c r="O14" t="n">
        <x:v>72.54</x:v>
      </x:c>
      <x:c r="P14" t="n">
        <x:v>45.86</x:v>
      </x:c>
      <x:c r="Q14" t="n">
        <x:v>155</x:v>
      </x:c>
      <x:c r="R14" t="n">
        <x:v>19</x:v>
      </x:c>
      <x:c r="S14" t="n">
        <x:v>60</x:v>
      </x:c>
      <x:c r="T14" t="n">
        <x:v>76</x:v>
      </x:c>
      <x:c r="U14" t="n">
        <x:v>120</x:v>
      </x:c>
      <x:c r="V14" t="n">
        <x:v>47</x:v>
      </x:c>
      <x:c r="W14" t="n">
        <x:v>63</x:v>
      </x:c>
      <x:c r="X14" t="n">
        <x:v>10</x:v>
      </x:c>
      <x:c r="Y14" t="n">
        <x:v>259</x:v>
      </x:c>
      <x:c r="Z14" t="n">
        <x:v>141</x:v>
      </x:c>
      <x:c r="AA14" t="n">
        <x:v>54.44</x:v>
      </x:c>
    </x:row>
    <x:row r="15">
      <x:c r="A15" t="n">
        <x:v>7</x:v>
      </x:c>
      <x:c r="B15" t="str">
        <x:v>2026-05-02</x:v>
      </x:c>
      <x:c r="C15" t="str">
        <x:v>Perth - Perth RedStar 1:1</x:v>
      </x:c>
      <x:c r="D15" t="str">
        <x:v>Australia. Western Australia NPL Women</x:v>
      </x:c>
      <x:c r="E15" t="n">
        <x:v>96</x:v>
      </x:c>
      <x:c r="F15" t="str">
        <x:v>Perth RedStar</x:v>
      </x:c>
      <x:c r="G15" t="str">
        <x:v>4-4-2 (100.0%)</x:v>
      </x:c>
      <x:c r="H15" t="n">
        <x:v>1</x:v>
      </x:c>
      <x:c r="I15" t="n">
        <x:v>0.6</x:v>
      </x:c>
      <x:c r="J15" t="n">
        <x:v>6</x:v>
      </x:c>
      <x:c r="K15" t="n">
        <x:v>1</x:v>
      </x:c>
      <x:c r="L15" t="n">
        <x:v>16.67</x:v>
      </x:c>
      <x:c r="M15" t="n">
        <x:v>420</x:v>
      </x:c>
      <x:c r="N15" t="n">
        <x:v>315</x:v>
      </x:c>
      <x:c r="O15" t="n">
        <x:v>75</x:v>
      </x:c>
      <x:c r="P15" t="n">
        <x:v>54.14</x:v>
      </x:c>
      <x:c r="Q15" t="n">
        <x:v>157</x:v>
      </x:c>
      <x:c r="R15" t="n">
        <x:v>21</x:v>
      </x:c>
      <x:c r="S15" t="n">
        <x:v>68</x:v>
      </x:c>
      <x:c r="T15" t="n">
        <x:v>68</x:v>
      </x:c>
      <x:c r="U15" t="n">
        <x:v>105</x:v>
      </x:c>
      <x:c r="V15" t="n">
        <x:v>44</x:v>
      </x:c>
      <x:c r="W15" t="n">
        <x:v>46</x:v>
      </x:c>
      <x:c r="X15" t="n">
        <x:v>15</x:v>
      </x:c>
      <x:c r="Y15" t="n">
        <x:v>259</x:v>
      </x:c>
      <x:c r="Z15" t="n">
        <x:v>116</x:v>
      </x:c>
      <x:c r="AA15" t="n">
        <x:v>44.79</x:v>
      </x:c>
    </x:row>
    <x:row r="16">
      <x:c r="A16" t="n">
        <x:v>8</x:v>
      </x:c>
      <x:c r="B16" t="str">
        <x:v>2026-05-16</x:v>
      </x:c>
      <x:c r="C16" t="str">
        <x:v>West NTC - Perth 0:1</x:v>
      </x:c>
      <x:c r="D16" t="str">
        <x:v>Australia. Western Australia NPL Women</x:v>
      </x:c>
      <x:c r="E16" t="n">
        <x:v>93</x:v>
      </x:c>
      <x:c r="F16" t="str">
        <x:v>Perth</x:v>
      </x:c>
      <x:c r="G16" t="str">
        <x:v>4-1-4-1 (100.0%)</x:v>
      </x:c>
      <x:c r="H16" t="n">
        <x:v>1</x:v>
      </x:c>
      <x:c r="I16" t="n">
        <x:v>1</x:v>
      </x:c>
      <x:c r="J16" t="n">
        <x:v>12</x:v>
      </x:c>
      <x:c r="K16" t="n">
        <x:v>6</x:v>
      </x:c>
      <x:c r="L16" t="n">
        <x:v>50</x:v>
      </x:c>
      <x:c r="M16" t="n">
        <x:v>596</x:v>
      </x:c>
      <x:c r="N16" t="n">
        <x:v>453</x:v>
      </x:c>
      <x:c r="O16" t="n">
        <x:v>76.01</x:v>
      </x:c>
      <x:c r="P16" t="n">
        <x:v>64.13</x:v>
      </x:c>
      <x:c r="Q16" t="n">
        <x:v>176</x:v>
      </x:c>
      <x:c r="R16" t="n">
        <x:v>25</x:v>
      </x:c>
      <x:c r="S16" t="n">
        <x:v>63</x:v>
      </x:c>
      <x:c r="T16" t="n">
        <x:v>88</x:v>
      </x:c>
      <x:c r="U16" t="n">
        <x:v>121</x:v>
      </x:c>
      <x:c r="V16" t="n">
        <x:v>32</x:v>
      </x:c>
      <x:c r="W16" t="n">
        <x:v>63</x:v>
      </x:c>
      <x:c r="X16" t="n">
        <x:v>26</x:v>
      </x:c>
      <x:c r="Y16" t="n">
        <x:v>221</x:v>
      </x:c>
      <x:c r="Z16" t="n">
        <x:v>124</x:v>
      </x:c>
      <x:c r="AA16" t="n">
        <x:v>56.11</x:v>
      </x:c>
    </x:row>
    <x:row r="17">
      <x:c r="A17" t="n">
        <x:v>8</x:v>
      </x:c>
      <x:c r="B17" t="str">
        <x:v>2026-05-16</x:v>
      </x:c>
      <x:c r="C17" t="str">
        <x:v>West NTC - Perth 0:1</x:v>
      </x:c>
      <x:c r="D17" t="str">
        <x:v>Australia. Western Australia NPL Women</x:v>
      </x:c>
      <x:c r="E17" t="n">
        <x:v>93</x:v>
      </x:c>
      <x:c r="F17" t="str">
        <x:v>West NTC</x:v>
      </x:c>
      <x:c r="G17" t="str">
        <x:v>4-4-2 (100.0%)</x:v>
      </x:c>
      <x:c r="H17" t="n">
        <x:v>0</x:v>
      </x:c>
      <x:c r="I17" t="n">
        <x:v>0.38</x:v>
      </x:c>
      <x:c r="J17" t="n">
        <x:v>8</x:v>
      </x:c>
      <x:c r="K17" t="n">
        <x:v>4</x:v>
      </x:c>
      <x:c r="L17" t="n">
        <x:v>50</x:v>
      </x:c>
      <x:c r="M17" t="n">
        <x:v>311</x:v>
      </x:c>
      <x:c r="N17" t="n">
        <x:v>188</x:v>
      </x:c>
      <x:c r="O17" t="n">
        <x:v>60.45</x:v>
      </x:c>
      <x:c r="P17" t="n">
        <x:v>35.87</x:v>
      </x:c>
      <x:c r="Q17" t="n">
        <x:v>183</x:v>
      </x:c>
      <x:c r="R17" t="n">
        <x:v>34</x:v>
      </x:c>
      <x:c r="S17" t="n">
        <x:v>95</x:v>
      </x:c>
      <x:c r="T17" t="n">
        <x:v>54</x:v>
      </x:c>
      <x:c r="U17" t="n">
        <x:v>102</x:v>
      </x:c>
      <x:c r="V17" t="n">
        <x:v>50</x:v>
      </x:c>
      <x:c r="W17" t="n">
        <x:v>40</x:v>
      </x:c>
      <x:c r="X17" t="n">
        <x:v>12</x:v>
      </x:c>
      <x:c r="Y17" t="n">
        <x:v>221</x:v>
      </x:c>
      <x:c r="Z17" t="n">
        <x:v>93</x:v>
      </x:c>
      <x:c r="AA17" t="n">
        <x:v>42.08</x:v>
      </x:c>
    </x:row>
    <x:row r="18">
      <x:c r="A18" t="n">
        <x:v>9</x:v>
      </x:c>
      <x:c r="B18" t="str">
        <x:v>2026-05-24</x:v>
      </x:c>
      <x:c r="C18" t="str">
        <x:v>Subiaco - Perth 0:5</x:v>
      </x:c>
      <x:c r="D18" t="str">
        <x:v>Australia. Western Australia NPL Women</x:v>
      </x:c>
      <x:c r="E18" t="n">
        <x:v>95</x:v>
      </x:c>
      <x:c r="F18" t="str">
        <x:v>Perth</x:v>
      </x:c>
      <x:c r="G18" t="str">
        <x:v>4-2-3-1 (100.0%)</x:v>
      </x:c>
      <x:c r="H18" t="n">
        <x:v>5</x:v>
      </x:c>
      <x:c r="I18" t="n">
        <x:v>2.25</x:v>
      </x:c>
      <x:c r="J18" t="n">
        <x:v>16</x:v>
      </x:c>
      <x:c r="K18" t="n">
        <x:v>13</x:v>
      </x:c>
      <x:c r="L18" t="n">
        <x:v>81.25</x:v>
      </x:c>
      <x:c r="M18" t="n">
        <x:v>376</x:v>
      </x:c>
      <x:c r="N18" t="n">
        <x:v>265</x:v>
      </x:c>
      <x:c r="O18" t="n">
        <x:v>70.48</x:v>
      </x:c>
      <x:c r="P18" t="n">
        <x:v>55.9</x:v>
      </x:c>
      <x:c r="Q18" t="n">
        <x:v>137</x:v>
      </x:c>
      <x:c r="R18" t="n">
        <x:v>20</x:v>
      </x:c>
      <x:c r="S18" t="n">
        <x:v>48</x:v>
      </x:c>
      <x:c r="T18" t="n">
        <x:v>69</x:v>
      </x:c>
      <x:c r="U18" t="n">
        <x:v>105</x:v>
      </x:c>
      <x:c r="V18" t="n">
        <x:v>39</x:v>
      </x:c>
      <x:c r="W18" t="n">
        <x:v>44</x:v>
      </x:c>
      <x:c r="X18" t="n">
        <x:v>22</x:v>
      </x:c>
      <x:c r="Y18" t="n">
        <x:v>242</x:v>
      </x:c>
      <x:c r="Z18" t="n">
        <x:v>126</x:v>
      </x:c>
      <x:c r="AA18" t="n">
        <x:v>52.07</x:v>
      </x:c>
    </x:row>
    <x:row r="19">
      <x:c r="A19" t="n">
        <x:v>9</x:v>
      </x:c>
      <x:c r="B19" t="str">
        <x:v>2026-05-24</x:v>
      </x:c>
      <x:c r="C19" t="str">
        <x:v>Subiaco - Perth 0:5</x:v>
      </x:c>
      <x:c r="D19" t="str">
        <x:v>Australia. Western Australia NPL Women</x:v>
      </x:c>
      <x:c r="E19" t="n">
        <x:v>95</x:v>
      </x:c>
      <x:c r="F19" t="str">
        <x:v>Subiaco</x:v>
      </x:c>
      <x:c r="G19" t="str">
        <x:v>4-3-3 (100.0%)</x:v>
      </x:c>
      <x:c r="H19" t="n">
        <x:v>0</x:v>
      </x:c>
      <x:c r="I19" t="n">
        <x:v>0.13</x:v>
      </x:c>
      <x:c r="J19" t="n">
        <x:v>5</x:v>
      </x:c>
      <x:c r="K19" t="n">
        <x:v>1</x:v>
      </x:c>
      <x:c r="L19" t="n">
        <x:v>20</x:v>
      </x:c>
      <x:c r="M19" t="n">
        <x:v>328</x:v>
      </x:c>
      <x:c r="N19" t="n">
        <x:v>215</x:v>
      </x:c>
      <x:c r="O19" t="n">
        <x:v>65.55</x:v>
      </x:c>
      <x:c r="P19" t="n">
        <x:v>44.1</x:v>
      </x:c>
      <x:c r="Q19" t="n">
        <x:v>164</x:v>
      </x:c>
      <x:c r="R19" t="n">
        <x:v>39</x:v>
      </x:c>
      <x:c r="S19" t="n">
        <x:v>58</x:v>
      </x:c>
      <x:c r="T19" t="n">
        <x:v>67</x:v>
      </x:c>
      <x:c r="U19" t="n">
        <x:v>89</x:v>
      </x:c>
      <x:c r="V19" t="n">
        <x:v>41</x:v>
      </x:c>
      <x:c r="W19" t="n">
        <x:v>36</x:v>
      </x:c>
      <x:c r="X19" t="n">
        <x:v>12</x:v>
      </x:c>
      <x:c r="Y19" t="n">
        <x:v>242</x:v>
      </x:c>
      <x:c r="Z19" t="n">
        <x:v>107</x:v>
      </x:c>
      <x:c r="AA19" t="n">
        <x:v>44.21</x:v>
      </x:c>
    </x:row>
    <x:row r="20">
      <x:c r="A20" t="n">
        <x:v>10</x:v>
      </x:c>
      <x:c r="B20" t="str">
        <x:v>2026-05-31</x:v>
      </x:c>
      <x:c r="C20" t="str">
        <x:v>Perth - Sorrento 3:0</x:v>
      </x:c>
      <x:c r="D20" t="str">
        <x:v>Australia. Western Australia NPL Women</x:v>
      </x:c>
      <x:c r="E20" t="n">
        <x:v>94</x:v>
      </x:c>
      <x:c r="F20" t="str">
        <x:v>Perth</x:v>
      </x:c>
      <x:c r="G20" t="str">
        <x:v>4-4-2 (100.0%)</x:v>
      </x:c>
      <x:c r="H20" t="n">
        <x:v>3</x:v>
      </x:c>
      <x:c r="I20" t="n">
        <x:v>4.37</x:v>
      </x:c>
      <x:c r="J20" t="n">
        <x:v>31</x:v>
      </x:c>
      <x:c r="K20" t="n">
        <x:v>6</x:v>
      </x:c>
      <x:c r="L20" t="n">
        <x:v>19.35</x:v>
      </x:c>
      <x:c r="M20" t="n">
        <x:v>559</x:v>
      </x:c>
      <x:c r="N20" t="n">
        <x:v>467</x:v>
      </x:c>
      <x:c r="O20" t="n">
        <x:v>83.54</x:v>
      </x:c>
      <x:c r="P20" t="n">
        <x:v>62.54</x:v>
      </x:c>
      <x:c r="Q20" t="n">
        <x:v>108</x:v>
      </x:c>
      <x:c r="R20" t="n">
        <x:v>1</x:v>
      </x:c>
      <x:c r="S20" t="n">
        <x:v>13</x:v>
      </x:c>
      <x:c r="T20" t="n">
        <x:v>94</x:v>
      </x:c>
      <x:c r="U20" t="n">
        <x:v>91</x:v>
      </x:c>
      <x:c r="V20" t="n">
        <x:v>8</x:v>
      </x:c>
      <x:c r="W20" t="n">
        <x:v>38</x:v>
      </x:c>
      <x:c r="X20" t="n">
        <x:v>45</x:v>
      </x:c>
      <x:c r="Y20" t="n">
        <x:v>179</x:v>
      </x:c>
      <x:c r="Z20" t="n">
        <x:v>84</x:v>
      </x:c>
      <x:c r="AA20" t="n">
        <x:v>46.93</x:v>
      </x:c>
    </x:row>
    <x:row r="21">
      <x:c r="A21" t="n">
        <x:v>10</x:v>
      </x:c>
      <x:c r="B21" t="str">
        <x:v>2026-05-31</x:v>
      </x:c>
      <x:c r="C21" t="str">
        <x:v>Perth - Sorrento 3:0</x:v>
      </x:c>
      <x:c r="D21" t="str">
        <x:v>Australia. Western Australia NPL Women</x:v>
      </x:c>
      <x:c r="E21" t="n">
        <x:v>94</x:v>
      </x:c>
      <x:c r="F21" t="str">
        <x:v>Sorrento</x:v>
      </x:c>
      <x:c r="G21" t="str">
        <x:v>4-5-1 (100.0%)</x:v>
      </x:c>
      <x:c r="H21" t="n">
        <x:v>0</x:v>
      </x:c>
      <x:c r="I21" t="n">
        <x:v>0</x:v>
      </x:c>
      <x:c r="J21" t="n">
        <x:v>0</x:v>
      </x:c>
      <x:c r="K21" t="n">
        <x:v>0</x:v>
      </x:c>
      <x:c r="L21" t="n">
        <x:v>0</x:v>
      </x:c>
      <x:c r="M21" t="n">
        <x:v>284</x:v>
      </x:c>
      <x:c r="N21" t="n">
        <x:v>178</x:v>
      </x:c>
      <x:c r="O21" t="n">
        <x:v>62.68</x:v>
      </x:c>
      <x:c r="P21" t="n">
        <x:v>37.46</x:v>
      </x:c>
      <x:c r="Q21" t="n">
        <x:v>140</x:v>
      </x:c>
      <x:c r="R21" t="n">
        <x:v>63</x:v>
      </x:c>
      <x:c r="S21" t="n">
        <x:v>61</x:v>
      </x:c>
      <x:c r="T21" t="n">
        <x:v>16</x:v>
      </x:c>
      <x:c r="U21" t="n">
        <x:v>75</x:v>
      </x:c>
      <x:c r="V21" t="n">
        <x:v>68</x:v>
      </x:c>
      <x:c r="W21" t="n">
        <x:v>6</x:v>
      </x:c>
      <x:c r="X21" t="n">
        <x:v>1</x:v>
      </x:c>
      <x:c r="Y21" t="n">
        <x:v>179</x:v>
      </x:c>
      <x:c r="Z21" t="n">
        <x:v>93</x:v>
      </x:c>
      <x:c r="AA21" t="n">
        <x:v>51.96</x:v>
      </x:c>
    </x:row>
  </x:sheetData>
  <x:pageMargins left="0.7" right="0.7" top="0.75" bottom="0.75" header="0.3" footer="0.3"/>
  <x:tableParts count="1">
    <x:tablePart xmlns:r="http://schemas.openxmlformats.org/officeDocument/2006/relationships" r:id="R655bb0248dca4c94"/>
  </x:tableParts>
</x:worksheet>
</file>