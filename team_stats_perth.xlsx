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thali/Desktop/Perth_Dashboard/"/>
    </mc:Choice>
  </mc:AlternateContent>
  <xr:revisionPtr revIDLastSave="0" documentId="13_ncr:1_{2326265D-C7C5-E54D-A3CB-6361F57FAF14}" xr6:coauthVersionLast="47" xr6:coauthVersionMax="47" xr10:uidLastSave="{00000000-0000-0000-0000-000000000000}"/>
  <bookViews>
    <workbookView xWindow="0" yWindow="660" windowWidth="29400" windowHeight="18460" activeTab="1" xr2:uid="{00000000-000D-0000-FFFF-FFFF00000000}"/>
  </bookViews>
  <sheets>
    <sheet name="WyscoutReport" sheetId="1" r:id="rId1"/>
    <sheet name="TeamStats" sheetId="2" r:id="rId2"/>
    <sheet name="PlayerSta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L3" i="2" l="1"/>
  <c r="EK3" i="2"/>
  <c r="EJ3" i="2"/>
  <c r="EI3" i="2"/>
  <c r="EH3" i="2"/>
  <c r="EG3" i="2"/>
  <c r="EF3" i="2"/>
  <c r="EE3" i="2"/>
  <c r="ED3" i="2"/>
  <c r="EC3" i="2"/>
  <c r="EB3" i="2"/>
  <c r="EA3" i="2"/>
  <c r="DZ3" i="2"/>
  <c r="DY3" i="2"/>
  <c r="DX3" i="2"/>
  <c r="DW3" i="2"/>
  <c r="DV3" i="2"/>
  <c r="DU3" i="2"/>
  <c r="DT3" i="2"/>
  <c r="DS3" i="2"/>
  <c r="DR3" i="2"/>
  <c r="DQ3" i="2"/>
  <c r="DP3" i="2"/>
  <c r="DO3" i="2"/>
  <c r="DN3" i="2"/>
  <c r="DM3" i="2"/>
  <c r="DL3" i="2"/>
  <c r="DK3" i="2"/>
  <c r="DJ3" i="2"/>
  <c r="DI3" i="2"/>
  <c r="DH3" i="2"/>
  <c r="DG3" i="2"/>
  <c r="DF3" i="2"/>
  <c r="DE3" i="2"/>
  <c r="DD3" i="2"/>
  <c r="DC3" i="2"/>
  <c r="DB3" i="2"/>
  <c r="DA3" i="2"/>
  <c r="CZ3" i="2"/>
  <c r="CY3" i="2"/>
  <c r="CX3" i="2"/>
  <c r="CW3" i="2"/>
  <c r="CV3" i="2"/>
  <c r="CU3" i="2"/>
  <c r="CT3" i="2"/>
  <c r="CS3" i="2"/>
  <c r="CR3" i="2"/>
  <c r="CQ3" i="2"/>
  <c r="CP3" i="2"/>
  <c r="CO3" i="2"/>
  <c r="CN3" i="2"/>
  <c r="CM3" i="2"/>
  <c r="CL3" i="2"/>
  <c r="CK3" i="2"/>
  <c r="CJ3" i="2"/>
  <c r="CI3" i="2"/>
  <c r="CH3" i="2"/>
  <c r="CG3" i="2"/>
  <c r="CF3" i="2"/>
  <c r="CE3" i="2"/>
  <c r="CD3" i="2"/>
  <c r="CC3" i="2"/>
  <c r="CB3" i="2"/>
  <c r="CA3" i="2"/>
  <c r="BZ3" i="2"/>
  <c r="BY3" i="2"/>
  <c r="BX3" i="2"/>
  <c r="BW3" i="2"/>
  <c r="BV3" i="2"/>
  <c r="BU3" i="2"/>
  <c r="BT3" i="2"/>
  <c r="EL2" i="2"/>
  <c r="EK2" i="2"/>
  <c r="EJ2" i="2"/>
  <c r="EI2" i="2"/>
  <c r="EH2" i="2"/>
  <c r="EG2" i="2"/>
  <c r="EF2" i="2"/>
  <c r="EE2" i="2"/>
  <c r="ED2" i="2"/>
  <c r="EC2" i="2"/>
  <c r="EB2" i="2"/>
  <c r="EA2" i="2"/>
  <c r="DZ2" i="2"/>
  <c r="DY2" i="2"/>
  <c r="DX2" i="2"/>
  <c r="DW2" i="2"/>
  <c r="DV2" i="2"/>
  <c r="DU2" i="2"/>
  <c r="DT2" i="2"/>
  <c r="DS2" i="2"/>
  <c r="DR2" i="2"/>
  <c r="DQ2" i="2"/>
  <c r="DP2" i="2"/>
  <c r="DO2" i="2"/>
  <c r="DN2" i="2"/>
  <c r="DM2" i="2"/>
  <c r="DL2" i="2"/>
  <c r="DK2" i="2"/>
  <c r="DJ2" i="2"/>
  <c r="DI2" i="2"/>
  <c r="DH2" i="2"/>
  <c r="DG2" i="2"/>
  <c r="DF2" i="2"/>
  <c r="DE2" i="2"/>
  <c r="DD2" i="2"/>
  <c r="DC2" i="2"/>
  <c r="DB2" i="2"/>
  <c r="DA2" i="2"/>
  <c r="CZ2" i="2"/>
  <c r="CY2" i="2"/>
  <c r="CX2" i="2"/>
  <c r="CW2" i="2"/>
  <c r="CV2" i="2"/>
  <c r="CU2" i="2"/>
  <c r="CT2" i="2"/>
  <c r="CS2" i="2"/>
  <c r="CR2" i="2"/>
  <c r="CQ2" i="2"/>
  <c r="CP2" i="2"/>
  <c r="CO2" i="2"/>
  <c r="CN2" i="2"/>
  <c r="CM2" i="2"/>
  <c r="CL2" i="2"/>
  <c r="CK2" i="2"/>
  <c r="CJ2" i="2"/>
  <c r="CI2" i="2"/>
  <c r="CH2" i="2"/>
  <c r="CG2" i="2"/>
  <c r="CF2" i="2"/>
  <c r="CE2" i="2"/>
  <c r="CD2" i="2"/>
  <c r="CC2" i="2"/>
  <c r="CB2" i="2"/>
  <c r="CA2" i="2"/>
  <c r="BZ2" i="2"/>
  <c r="BY2" i="2"/>
  <c r="BX2" i="2"/>
  <c r="BW2" i="2"/>
  <c r="BV2" i="2"/>
  <c r="BU2" i="2"/>
  <c r="BT2" i="2"/>
</calcChain>
</file>

<file path=xl/sharedStrings.xml><?xml version="1.0" encoding="utf-8"?>
<sst xmlns="http://schemas.openxmlformats.org/spreadsheetml/2006/main" count="924" uniqueCount="480">
  <si>
    <t>PERTH AZZURRI — WYSCOUT REPORT</t>
  </si>
  <si>
    <t>Atualizar: substituir o PDF e rodar  python extract_wyscout.py</t>
  </si>
  <si>
    <t xml:space="preserve">  Pág 2 · Players</t>
  </si>
  <si>
    <t xml:space="preserve">  Pág 3 · Player Stats — General</t>
  </si>
  <si>
    <t xml:space="preserve">  Pág 4 · Player Stats — Passing</t>
  </si>
  <si>
    <t xml:space="preserve">  Pág 5 · Formations</t>
  </si>
  <si>
    <t xml:space="preserve">  Pág 19 · Finishing</t>
  </si>
  <si>
    <t>Date</t>
  </si>
  <si>
    <t>Match</t>
  </si>
  <si>
    <t>Competition</t>
  </si>
  <si>
    <t>Duration</t>
  </si>
  <si>
    <t>Team</t>
  </si>
  <si>
    <t>Scheme</t>
  </si>
  <si>
    <t>Goals</t>
  </si>
  <si>
    <t>xG</t>
  </si>
  <si>
    <t>Shots / on target</t>
  </si>
  <si>
    <t>Possession, %</t>
  </si>
  <si>
    <t>Losses / Low / Medium / High</t>
  </si>
  <si>
    <t>Recoveries / Low / Medium / High</t>
  </si>
  <si>
    <t>Duels / won</t>
  </si>
  <si>
    <t>Shots from outside penalty area / on target</t>
  </si>
  <si>
    <t>Positional attacks / with shots</t>
  </si>
  <si>
    <t>Set pieces / with shots</t>
  </si>
  <si>
    <t>Corners / with shots</t>
  </si>
  <si>
    <t>Crosses / accurate</t>
  </si>
  <si>
    <t>Deep completed passes</t>
  </si>
  <si>
    <t>Touches in penalty area</t>
  </si>
  <si>
    <t>Offensive duels / won</t>
  </si>
  <si>
    <t>Conceded goals</t>
  </si>
  <si>
    <t>Shots against / on target</t>
  </si>
  <si>
    <t>Defensive duels / won</t>
  </si>
  <si>
    <t>Aerial duels / won</t>
  </si>
  <si>
    <t>Sliding tackles / successful</t>
  </si>
  <si>
    <t>Interceptions</t>
  </si>
  <si>
    <t>Clearances</t>
  </si>
  <si>
    <t>Fouls</t>
  </si>
  <si>
    <t>Yellow cards</t>
  </si>
  <si>
    <t>Red cards</t>
  </si>
  <si>
    <t>Forward passes / accurate</t>
  </si>
  <si>
    <t>Long passes / accurate</t>
  </si>
  <si>
    <t>Passes to final third / accurate</t>
  </si>
  <si>
    <t>Progressive passes / accurate</t>
  </si>
  <si>
    <t>Throw ins / accurate</t>
  </si>
  <si>
    <t>PPDA</t>
  </si>
  <si>
    <t>Perth</t>
  </si>
  <si>
    <t>Opponents</t>
  </si>
  <si>
    <t>2026-05-31</t>
  </si>
  <si>
    <t>Perth - Sorrento 3:0</t>
  </si>
  <si>
    <t>Australia. Western Australia NPL Women</t>
  </si>
  <si>
    <t>4-4-2 (100.0%)</t>
  </si>
  <si>
    <t>Sorrento</t>
  </si>
  <si>
    <t>4-5-1 (100.0%)</t>
  </si>
  <si>
    <t>2026-05-24</t>
  </si>
  <si>
    <t>Subiaco - Perth 0:5</t>
  </si>
  <si>
    <t>4-2-3-1 (100.0%)</t>
  </si>
  <si>
    <t>Subiaco</t>
  </si>
  <si>
    <t>4-3-3 (100.0%)</t>
  </si>
  <si>
    <t>2026-05-16</t>
  </si>
  <si>
    <t>West NTC - Perth 0:1</t>
  </si>
  <si>
    <t>4-1-4-1 (100.0%)</t>
  </si>
  <si>
    <t>West NTC</t>
  </si>
  <si>
    <t>2026-05-02</t>
  </si>
  <si>
    <t>Perth - Perth RedStar 1:1</t>
  </si>
  <si>
    <t>Perth RedStar</t>
  </si>
  <si>
    <t>2026-04-26</t>
  </si>
  <si>
    <t>UWA Nedlands - Perth 1:3</t>
  </si>
  <si>
    <t>UWA Nedlands</t>
  </si>
  <si>
    <t>2026-04-17</t>
  </si>
  <si>
    <t>Perth - Balcatta 0:0</t>
  </si>
  <si>
    <t>Balcatta</t>
  </si>
  <si>
    <t>4-4-1-1 (100.0%)</t>
  </si>
  <si>
    <t>2026-04-10</t>
  </si>
  <si>
    <t>Perth - Fremantle City 0:0</t>
  </si>
  <si>
    <t>4-2-3-1 (48.4%)</t>
  </si>
  <si>
    <t>Fremantle City</t>
  </si>
  <si>
    <t>2026-04-06</t>
  </si>
  <si>
    <t>Sorrento - Perth 0:2</t>
  </si>
  <si>
    <t>2026-03-29</t>
  </si>
  <si>
    <t>Perth - Subiaco 2:0</t>
  </si>
  <si>
    <t>4-4-2 (49.52%)</t>
  </si>
  <si>
    <t>2026-03-20</t>
  </si>
  <si>
    <t>Perth - UWA Nedlands 6:0</t>
  </si>
  <si>
    <t>3-5-2 (100.0%)</t>
  </si>
  <si>
    <t>ID</t>
  </si>
  <si>
    <t>PLAYER INFO</t>
  </si>
  <si>
    <t>SEASON SUMMARY</t>
  </si>
  <si>
    <t>KEY RATES</t>
  </si>
  <si>
    <t>DEFENSIVE</t>
  </si>
  <si>
    <t>PIN</t>
  </si>
  <si>
    <t>DUEL DETAILS</t>
  </si>
  <si>
    <t>PASSING DETAILS</t>
  </si>
  <si>
    <t>GOALKEEPER</t>
  </si>
  <si>
    <t>Num</t>
  </si>
  <si>
    <t>Name</t>
  </si>
  <si>
    <t>Position</t>
  </si>
  <si>
    <t>Matches</t>
  </si>
  <si>
    <t>Total Min</t>
  </si>
  <si>
    <t>Avg Min</t>
  </si>
  <si>
    <t>Assists</t>
  </si>
  <si>
    <t>xA</t>
  </si>
  <si>
    <t>Shots %</t>
  </si>
  <si>
    <t>Passes %</t>
  </si>
  <si>
    <t>Crosses %</t>
  </si>
  <si>
    <t>Dribbles</t>
  </si>
  <si>
    <t>Dribbles %</t>
  </si>
  <si>
    <t>Duels</t>
  </si>
  <si>
    <t>Duels %</t>
  </si>
  <si>
    <t>Losses Total</t>
  </si>
  <si>
    <t>Losses Own Half</t>
  </si>
  <si>
    <t>Recoveries</t>
  </si>
  <si>
    <t>Recoveries Opp Half</t>
  </si>
  <si>
    <t>Touches PA</t>
  </si>
  <si>
    <t>Yellow Cards</t>
  </si>
  <si>
    <t>Red Cards</t>
  </si>
  <si>
    <t>Def Duels</t>
  </si>
  <si>
    <t>Def %</t>
  </si>
  <si>
    <t>Off Duels</t>
  </si>
  <si>
    <t>Off %</t>
  </si>
  <si>
    <t>Aerial Duels</t>
  </si>
  <si>
    <t>Aerial %</t>
  </si>
  <si>
    <t>Loose Ball</t>
  </si>
  <si>
    <t>Loose %</t>
  </si>
  <si>
    <t>Blocks</t>
  </si>
  <si>
    <t>Intercept/Clear</t>
  </si>
  <si>
    <t>Tackles</t>
  </si>
  <si>
    <t>Freekicks Won</t>
  </si>
  <si>
    <t>Set Pieces</t>
  </si>
  <si>
    <t>Direct FK/Corners</t>
  </si>
  <si>
    <t>Throw-ins</t>
  </si>
  <si>
    <t>Fwd Passes</t>
  </si>
  <si>
    <t>Fwd %</t>
  </si>
  <si>
    <t>Back Passes</t>
  </si>
  <si>
    <t>Back %</t>
  </si>
  <si>
    <t>Lateral Passes</t>
  </si>
  <si>
    <t>Lateral %</t>
  </si>
  <si>
    <t>Short/Med Passes</t>
  </si>
  <si>
    <t>Short/Med %</t>
  </si>
  <si>
    <t>Long Passes</t>
  </si>
  <si>
    <t>Long %</t>
  </si>
  <si>
    <t>Progressive</t>
  </si>
  <si>
    <t>Progressive %</t>
  </si>
  <si>
    <t>Final Third</t>
  </si>
  <si>
    <t>Final Third %</t>
  </si>
  <si>
    <t>Through Balls</t>
  </si>
  <si>
    <t>Through %</t>
  </si>
  <si>
    <t>Deep Completions</t>
  </si>
  <si>
    <t>Key Passes</t>
  </si>
  <si>
    <t>2nd/3rd Assists</t>
  </si>
  <si>
    <t>Shot Assists</t>
  </si>
  <si>
    <t>Clean Sheets</t>
  </si>
  <si>
    <t>Goals Against</t>
  </si>
  <si>
    <t>D. Schroeder</t>
  </si>
  <si>
    <t>Goalkeeper</t>
  </si>
  <si>
    <t>-</t>
  </si>
  <si>
    <t>E. Ingrey</t>
  </si>
  <si>
    <t>E. Nossent</t>
  </si>
  <si>
    <t>Defender</t>
  </si>
  <si>
    <t>5/2</t>
  </si>
  <si>
    <t>306/223</t>
  </si>
  <si>
    <t>17/2</t>
  </si>
  <si>
    <t>4/2</t>
  </si>
  <si>
    <t>111/67</t>
  </si>
  <si>
    <t>64 / 45</t>
  </si>
  <si>
    <t>70%</t>
  </si>
  <si>
    <t>25 / 9</t>
  </si>
  <si>
    <t>36%</t>
  </si>
  <si>
    <t>11 / 5</t>
  </si>
  <si>
    <t>45%</t>
  </si>
  <si>
    <t>11 / 8</t>
  </si>
  <si>
    <t>73%</t>
  </si>
  <si>
    <t>49 / 19</t>
  </si>
  <si>
    <t>2 / 1</t>
  </si>
  <si>
    <t>141 / 95</t>
  </si>
  <si>
    <t>47 / 44</t>
  </si>
  <si>
    <t>67 / 42</t>
  </si>
  <si>
    <t>251 / 203</t>
  </si>
  <si>
    <t>38 / 18</t>
  </si>
  <si>
    <t>71 / 47</t>
  </si>
  <si>
    <t>62 / 36</t>
  </si>
  <si>
    <t>1 / 0</t>
  </si>
  <si>
    <t>R. Marshall</t>
  </si>
  <si>
    <t>22/9</t>
  </si>
  <si>
    <t>302/210</t>
  </si>
  <si>
    <t>30/5</t>
  </si>
  <si>
    <t>31/16</t>
  </si>
  <si>
    <t>188/90</t>
  </si>
  <si>
    <t>59 / 40</t>
  </si>
  <si>
    <t>68%</t>
  </si>
  <si>
    <t>79 / 29</t>
  </si>
  <si>
    <t>37%</t>
  </si>
  <si>
    <t>22 / 10</t>
  </si>
  <si>
    <t>28 / 11</t>
  </si>
  <si>
    <t>39%</t>
  </si>
  <si>
    <t>26 / 12</t>
  </si>
  <si>
    <t>1 / 1</t>
  </si>
  <si>
    <t>14 / 8</t>
  </si>
  <si>
    <t>97 / 66</t>
  </si>
  <si>
    <t>71 / 63</t>
  </si>
  <si>
    <t>98 / 61</t>
  </si>
  <si>
    <t>239 / 189</t>
  </si>
  <si>
    <t>35 / 17</t>
  </si>
  <si>
    <t>56 / 39</t>
  </si>
  <si>
    <t>47 / 28</t>
  </si>
  <si>
    <t>8 / 4</t>
  </si>
  <si>
    <t>0 / 1</t>
  </si>
  <si>
    <t>A. Ottobrino</t>
  </si>
  <si>
    <t>0/0</t>
  </si>
  <si>
    <t>96/73</t>
  </si>
  <si>
    <t>2/0</t>
  </si>
  <si>
    <t>19/9</t>
  </si>
  <si>
    <t>13 / 9</t>
  </si>
  <si>
    <t>69%</t>
  </si>
  <si>
    <t>2 / 0</t>
  </si>
  <si>
    <t>0%</t>
  </si>
  <si>
    <t>15 / 2</t>
  </si>
  <si>
    <t>42 / 31</t>
  </si>
  <si>
    <t>7 / 7</t>
  </si>
  <si>
    <t>28 / 22</t>
  </si>
  <si>
    <t>84 / 67</t>
  </si>
  <si>
    <t>10 / 6</t>
  </si>
  <si>
    <t>27 / 25</t>
  </si>
  <si>
    <t>21 / 15</t>
  </si>
  <si>
    <t>T. Attree</t>
  </si>
  <si>
    <t>6/2</t>
  </si>
  <si>
    <t>110/64</t>
  </si>
  <si>
    <t>17/5</t>
  </si>
  <si>
    <t>7/5</t>
  </si>
  <si>
    <t>52/30</t>
  </si>
  <si>
    <t>32 / 21</t>
  </si>
  <si>
    <t>66%</t>
  </si>
  <si>
    <t>14 / 7</t>
  </si>
  <si>
    <t>50%</t>
  </si>
  <si>
    <t>2 / 2</t>
  </si>
  <si>
    <t>100%</t>
  </si>
  <si>
    <t>4 / 0</t>
  </si>
  <si>
    <t>15 / 3</t>
  </si>
  <si>
    <t>3 / 0</t>
  </si>
  <si>
    <t>8 / 1</t>
  </si>
  <si>
    <t>2</t>
  </si>
  <si>
    <t>28 / 14</t>
  </si>
  <si>
    <t>24 / 20</t>
  </si>
  <si>
    <t>39 / 18</t>
  </si>
  <si>
    <t>82 / 55</t>
  </si>
  <si>
    <t>13 / 5</t>
  </si>
  <si>
    <t>23 / 17</t>
  </si>
  <si>
    <t>15 / 5</t>
  </si>
  <si>
    <t>K. Mccartney</t>
  </si>
  <si>
    <t>7/4</t>
  </si>
  <si>
    <t>579/502</t>
  </si>
  <si>
    <t>1/0</t>
  </si>
  <si>
    <t>59/35</t>
  </si>
  <si>
    <t>35 / 27</t>
  </si>
  <si>
    <t>77%</t>
  </si>
  <si>
    <t>8 / 0</t>
  </si>
  <si>
    <t>37 / 28</t>
  </si>
  <si>
    <t>238 / 178</t>
  </si>
  <si>
    <t>31 / 30</t>
  </si>
  <si>
    <t>262 / 252</t>
  </si>
  <si>
    <t>474 / 444</t>
  </si>
  <si>
    <t>104 / 58</t>
  </si>
  <si>
    <t>115 / 81</t>
  </si>
  <si>
    <t>77 / 48</t>
  </si>
  <si>
    <t>3 / 2</t>
  </si>
  <si>
    <t>G. Warburton</t>
  </si>
  <si>
    <t>Midfielder</t>
  </si>
  <si>
    <t>7/2</t>
  </si>
  <si>
    <t>283/216</t>
  </si>
  <si>
    <t>5/0</t>
  </si>
  <si>
    <t>146/63</t>
  </si>
  <si>
    <t>65 / 45</t>
  </si>
  <si>
    <t>48 / 8</t>
  </si>
  <si>
    <t>17%</t>
  </si>
  <si>
    <t>13 / 3</t>
  </si>
  <si>
    <t>23%</t>
  </si>
  <si>
    <t>20 / 7</t>
  </si>
  <si>
    <t>35%</t>
  </si>
  <si>
    <t>28 / 8</t>
  </si>
  <si>
    <t>11 / 2</t>
  </si>
  <si>
    <t>82 / 54</t>
  </si>
  <si>
    <t>72 / 66</t>
  </si>
  <si>
    <t>85 / 62</t>
  </si>
  <si>
    <t>259 / 207</t>
  </si>
  <si>
    <t>19 / 9</t>
  </si>
  <si>
    <t>44 / 29</t>
  </si>
  <si>
    <t>41 / 27</t>
  </si>
  <si>
    <t>C. Wainwright</t>
  </si>
  <si>
    <t>4/3</t>
  </si>
  <si>
    <t>169/139</t>
  </si>
  <si>
    <t>2/1</t>
  </si>
  <si>
    <t>6/5</t>
  </si>
  <si>
    <t>81/49</t>
  </si>
  <si>
    <t>36 / 28</t>
  </si>
  <si>
    <t>78%</t>
  </si>
  <si>
    <t>22 / 11</t>
  </si>
  <si>
    <t>12 / 5</t>
  </si>
  <si>
    <t>42%</t>
  </si>
  <si>
    <t>21 / 2</t>
  </si>
  <si>
    <t>4 / 1</t>
  </si>
  <si>
    <t>4 / 3</t>
  </si>
  <si>
    <t>52 / 36</t>
  </si>
  <si>
    <t>36 / 34</t>
  </si>
  <si>
    <t>57 / 50</t>
  </si>
  <si>
    <t>160 / 136</t>
  </si>
  <si>
    <t>7 / 2</t>
  </si>
  <si>
    <t>24 / 18</t>
  </si>
  <si>
    <t>34 / 24</t>
  </si>
  <si>
    <t>D. McAllister</t>
  </si>
  <si>
    <t>13/7</t>
  </si>
  <si>
    <t>221/163</t>
  </si>
  <si>
    <t>16/8</t>
  </si>
  <si>
    <t>92/49</t>
  </si>
  <si>
    <t>28 / 23</t>
  </si>
  <si>
    <t>82%</t>
  </si>
  <si>
    <t>49 / 18</t>
  </si>
  <si>
    <t>3 / 1</t>
  </si>
  <si>
    <t>33%</t>
  </si>
  <si>
    <t>12 / 7</t>
  </si>
  <si>
    <t>58%</t>
  </si>
  <si>
    <t>16 / 1</t>
  </si>
  <si>
    <t>72 / 45</t>
  </si>
  <si>
    <t>52 / 50</t>
  </si>
  <si>
    <t>61 / 44</t>
  </si>
  <si>
    <t>186 / 146</t>
  </si>
  <si>
    <t>23 / 13</t>
  </si>
  <si>
    <t>34 / 25</t>
  </si>
  <si>
    <t>28 / 15</t>
  </si>
  <si>
    <t>M. Archibald</t>
  </si>
  <si>
    <t>23/10</t>
  </si>
  <si>
    <t>324/227</t>
  </si>
  <si>
    <t>12/4</t>
  </si>
  <si>
    <t>14/8</t>
  </si>
  <si>
    <t>164/89</t>
  </si>
  <si>
    <t>70 / 55</t>
  </si>
  <si>
    <t>79%</t>
  </si>
  <si>
    <t>57 / 17</t>
  </si>
  <si>
    <t>30%</t>
  </si>
  <si>
    <t>10 / 3</t>
  </si>
  <si>
    <t>27 / 14</t>
  </si>
  <si>
    <t>52%</t>
  </si>
  <si>
    <t>35 / 9</t>
  </si>
  <si>
    <t>11 / 4</t>
  </si>
  <si>
    <t>9</t>
  </si>
  <si>
    <t>113 / 64</t>
  </si>
  <si>
    <t>73 / 65</t>
  </si>
  <si>
    <t>66 / 48</t>
  </si>
  <si>
    <t>280 / 215</t>
  </si>
  <si>
    <t>32 / 8</t>
  </si>
  <si>
    <t>50 / 37</t>
  </si>
  <si>
    <t>64 / 36</t>
  </si>
  <si>
    <t>M. Boehm</t>
  </si>
  <si>
    <t>13/3</t>
  </si>
  <si>
    <t>447/327</t>
  </si>
  <si>
    <t>13/10</t>
  </si>
  <si>
    <t>144/98</t>
  </si>
  <si>
    <t>68 / 58</t>
  </si>
  <si>
    <t>85%</t>
  </si>
  <si>
    <t>45 / 23</t>
  </si>
  <si>
    <t>51%</t>
  </si>
  <si>
    <t>17 / 8</t>
  </si>
  <si>
    <t>47%</t>
  </si>
  <si>
    <t>14 / 9</t>
  </si>
  <si>
    <t>64%</t>
  </si>
  <si>
    <t>62 / 33</t>
  </si>
  <si>
    <t>3 / 5</t>
  </si>
  <si>
    <t>244 / 154</t>
  </si>
  <si>
    <t>26 / 24</t>
  </si>
  <si>
    <t>136 / 115</t>
  </si>
  <si>
    <t>361 / 296</t>
  </si>
  <si>
    <t>80 / 29</t>
  </si>
  <si>
    <t>115 / 74</t>
  </si>
  <si>
    <t>86 / 47</t>
  </si>
  <si>
    <t>9 / 3</t>
  </si>
  <si>
    <t>X. Dalton</t>
  </si>
  <si>
    <t>Attacker</t>
  </si>
  <si>
    <t>67/47</t>
  </si>
  <si>
    <t>8/4</t>
  </si>
  <si>
    <t>45/25</t>
  </si>
  <si>
    <t>14 / 12</t>
  </si>
  <si>
    <t>86%</t>
  </si>
  <si>
    <t>18 / 8</t>
  </si>
  <si>
    <t>44%</t>
  </si>
  <si>
    <t>67%</t>
  </si>
  <si>
    <t>6 / 0</t>
  </si>
  <si>
    <t>28 / 20</t>
  </si>
  <si>
    <t>16 / 13</t>
  </si>
  <si>
    <t>59 / 44</t>
  </si>
  <si>
    <t>7 / 6</t>
  </si>
  <si>
    <t>L. Tana</t>
  </si>
  <si>
    <t>507/438</t>
  </si>
  <si>
    <t>10/2</t>
  </si>
  <si>
    <t>15/11</t>
  </si>
  <si>
    <t>179/107</t>
  </si>
  <si>
    <t>114 / 78</t>
  </si>
  <si>
    <t>43 / 21</t>
  </si>
  <si>
    <t>49%</t>
  </si>
  <si>
    <t>14 / 4</t>
  </si>
  <si>
    <t>29%</t>
  </si>
  <si>
    <t>74 / 11</t>
  </si>
  <si>
    <t>11 / 7</t>
  </si>
  <si>
    <t>208 / 166</t>
  </si>
  <si>
    <t>86 / 78</t>
  </si>
  <si>
    <t>139 / 126</t>
  </si>
  <si>
    <t>482 / 429</t>
  </si>
  <si>
    <t>15 / 7</t>
  </si>
  <si>
    <t>89 / 65</t>
  </si>
  <si>
    <t>55 / 42</t>
  </si>
  <si>
    <t>A. Zindell</t>
  </si>
  <si>
    <t>13/9</t>
  </si>
  <si>
    <t>5 / 0</t>
  </si>
  <si>
    <t>6 / 5</t>
  </si>
  <si>
    <t>12 / 9</t>
  </si>
  <si>
    <t>S. Mathers</t>
  </si>
  <si>
    <t>9/3</t>
  </si>
  <si>
    <t>399/306</t>
  </si>
  <si>
    <t>11/6</t>
  </si>
  <si>
    <t>132/68</t>
  </si>
  <si>
    <t>41 / 11</t>
  </si>
  <si>
    <t>27%</t>
  </si>
  <si>
    <t>16 / 10</t>
  </si>
  <si>
    <t>63%</t>
  </si>
  <si>
    <t>18%</t>
  </si>
  <si>
    <t>45 / 12</t>
  </si>
  <si>
    <t>26</t>
  </si>
  <si>
    <t>159 / 97</t>
  </si>
  <si>
    <t>82 / 79</t>
  </si>
  <si>
    <t>106 / 93</t>
  </si>
  <si>
    <t>354 / 287</t>
  </si>
  <si>
    <t>39 / 17</t>
  </si>
  <si>
    <t>81 / 51</t>
  </si>
  <si>
    <t>J. Flannery</t>
  </si>
  <si>
    <t>40/19</t>
  </si>
  <si>
    <t>422/273</t>
  </si>
  <si>
    <t>56/16</t>
  </si>
  <si>
    <t>61/33</t>
  </si>
  <si>
    <t>240/106</t>
  </si>
  <si>
    <t>46 / 35</t>
  </si>
  <si>
    <t>76%</t>
  </si>
  <si>
    <t>146 / 52</t>
  </si>
  <si>
    <t>18 / 7</t>
  </si>
  <si>
    <t>30 / 12</t>
  </si>
  <si>
    <t>40%</t>
  </si>
  <si>
    <t>42 / 6</t>
  </si>
  <si>
    <t>3 / 3</t>
  </si>
  <si>
    <t>25</t>
  </si>
  <si>
    <t>112 / 59</t>
  </si>
  <si>
    <t>97 / 87</t>
  </si>
  <si>
    <t>146 / 84</t>
  </si>
  <si>
    <t>321 / 236</t>
  </si>
  <si>
    <t>45 / 21</t>
  </si>
  <si>
    <t>89 / 61</t>
  </si>
  <si>
    <t>47 / 23</t>
  </si>
  <si>
    <t>M. Mccready</t>
  </si>
  <si>
    <t>4/1</t>
  </si>
  <si>
    <t>120/85</t>
  </si>
  <si>
    <t>7/3</t>
  </si>
  <si>
    <t>65/36</t>
  </si>
  <si>
    <t>26 / 20</t>
  </si>
  <si>
    <t>8 / 3</t>
  </si>
  <si>
    <t>38%</t>
  </si>
  <si>
    <t>9 / 1</t>
  </si>
  <si>
    <t>1 / 2</t>
  </si>
  <si>
    <t>35 / 19</t>
  </si>
  <si>
    <t>29 / 26</t>
  </si>
  <si>
    <t>36 / 23</t>
  </si>
  <si>
    <t>106 / 80</t>
  </si>
  <si>
    <t>10 / 4</t>
  </si>
  <si>
    <t>15 / 14</t>
  </si>
  <si>
    <t>17 / 7</t>
  </si>
  <si>
    <t>L. Continibali</t>
  </si>
  <si>
    <t>3/1</t>
  </si>
  <si>
    <t>4 / 2</t>
  </si>
  <si>
    <t>12 / 10</t>
  </si>
  <si>
    <t>Fouls Suffered</t>
  </si>
  <si>
    <t>Shots/ ON Target</t>
  </si>
  <si>
    <t>Passes/ Accurate</t>
  </si>
  <si>
    <t>Crosses/ Accurate</t>
  </si>
  <si>
    <t/>
  </si>
  <si>
    <t>2026-06-14</t>
  </si>
  <si>
    <t>Perth - West NTC 3:0</t>
  </si>
  <si>
    <t>4-1-3-2 (71.18%)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</si>
</sst>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Arial"/>
      <family val="1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i/>
      <sz val="9"/>
      <color rgb="FF66666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6284F"/>
      </patternFill>
    </fill>
    <fill>
      <patternFill patternType="solid">
        <fgColor rgb="FF009246"/>
      </patternFill>
    </fill>
    <fill>
      <patternFill patternType="solid">
        <fgColor rgb="FF1A3A6E"/>
      </patternFill>
    </fill>
    <fill>
      <patternFill patternType="solid">
        <fgColor rgb="FFCE2B37"/>
      </patternFill>
    </fill>
    <fill>
      <patternFill patternType="solid">
        <fgColor rgb="FF555555"/>
      </patternFill>
    </fill>
    <fill>
      <patternFill patternType="solid">
        <fgColor rgb="FF0C4A2E"/>
      </patternFill>
    </fill>
    <fill>
      <patternFill patternType="solid">
        <fgColor rgb="FF444444"/>
      </patternFill>
    </fill>
    <fill>
      <patternFill patternType="solid">
        <fgColor rgb="FFDDEEFF"/>
      </patternFill>
    </fill>
    <fill>
      <patternFill patternType="solid">
        <fgColor rgb="FFE8F5E9"/>
      </patternFill>
    </fill>
    <fill>
      <patternFill patternType="solid">
        <fgColor rgb="FFFFF9E6"/>
      </patternFill>
    </fill>
    <fill>
      <patternFill patternType="solid">
        <fgColor rgb="FFFFE8E8"/>
      </patternFill>
    </fill>
    <fill>
      <patternFill patternType="solid">
        <fgColor rgb="FFEEF0F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right" vertical="center"/>
    </xf>
    <xf numFmtId="0" fontId="3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right" vertical="center"/>
    </xf>
    <xf numFmtId="0" fontId="3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right" vertical="center"/>
    </xf>
    <xf numFmtId="0" fontId="3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6" fillId="13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10001250" cy="14135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82</xdr:row>
      <xdr:rowOff>0</xdr:rowOff>
    </xdr:from>
    <xdr:ext cx="10001250" cy="141351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160</xdr:row>
      <xdr:rowOff>0</xdr:rowOff>
    </xdr:from>
    <xdr:ext cx="10001250" cy="141351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238</xdr:row>
      <xdr:rowOff>0</xdr:rowOff>
    </xdr:from>
    <xdr:ext cx="10001250" cy="141351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316</xdr:row>
      <xdr:rowOff>0</xdr:rowOff>
    </xdr:from>
    <xdr:ext cx="10001250" cy="141351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1"/>
  <sheetViews>
    <sheetView workbookViewId="0">
      <selection sqref="A1:B1"/>
    </sheetView>
  </sheetViews>
  <sheetFormatPr baseColWidth="10" defaultColWidth="8.83203125" defaultRowHeight="14" x14ac:dyDescent="0.15"/>
  <cols>
    <col min="1" max="1" width="4" customWidth="1"/>
    <col min="2" max="2" width="145" customWidth="1"/>
  </cols>
  <sheetData>
    <row r="1" spans="1:2" ht="36" customHeight="1" x14ac:dyDescent="0.15">
      <c r="A1" s="27" t="s">
        <v>0</v>
      </c>
      <c r="B1" s="21"/>
    </row>
    <row r="2" spans="1:2" ht="18" customHeight="1" x14ac:dyDescent="0.15">
      <c r="A2" s="29" t="s">
        <v>1</v>
      </c>
      <c r="B2" s="21"/>
    </row>
    <row r="4" spans="1:2" ht="22" customHeight="1" x14ac:dyDescent="0.15">
      <c r="A4" s="28" t="s">
        <v>2</v>
      </c>
      <c r="B4" s="21"/>
    </row>
    <row r="5" spans="1:2" ht="15" customHeight="1" x14ac:dyDescent="0.15"/>
    <row r="6" spans="1:2" ht="15" customHeight="1" x14ac:dyDescent="0.15"/>
    <row r="7" spans="1:2" ht="15" customHeight="1" x14ac:dyDescent="0.15"/>
    <row r="8" spans="1:2" ht="15" customHeight="1" x14ac:dyDescent="0.15"/>
    <row r="9" spans="1:2" ht="15" customHeight="1" x14ac:dyDescent="0.15"/>
    <row r="10" spans="1:2" ht="15" customHeight="1" x14ac:dyDescent="0.15"/>
    <row r="11" spans="1:2" ht="15" customHeight="1" x14ac:dyDescent="0.15"/>
    <row r="12" spans="1:2" ht="15" customHeight="1" x14ac:dyDescent="0.15"/>
    <row r="13" spans="1:2" ht="15" customHeight="1" x14ac:dyDescent="0.15"/>
    <row r="14" spans="1:2" ht="15" customHeight="1" x14ac:dyDescent="0.15"/>
    <row r="15" spans="1:2" ht="15" customHeight="1" x14ac:dyDescent="0.15"/>
    <row r="16" spans="1:2" ht="15" customHeight="1" x14ac:dyDescent="0.15"/>
    <row r="17" ht="15" customHeight="1" x14ac:dyDescent="0.15"/>
    <row r="18" ht="15" customHeight="1" x14ac:dyDescent="0.15"/>
    <row r="19" ht="15" customHeight="1" x14ac:dyDescent="0.15"/>
    <row r="20" ht="15" customHeight="1" x14ac:dyDescent="0.15"/>
    <row r="21" ht="15" customHeight="1" x14ac:dyDescent="0.15"/>
    <row r="22" ht="15" customHeight="1" x14ac:dyDescent="0.15"/>
    <row r="23" ht="15" customHeight="1" x14ac:dyDescent="0.15"/>
    <row r="24" ht="15" customHeight="1" x14ac:dyDescent="0.15"/>
    <row r="25" ht="15" customHeight="1" x14ac:dyDescent="0.15"/>
    <row r="26" ht="15" customHeight="1" x14ac:dyDescent="0.15"/>
    <row r="27" ht="15" customHeight="1" x14ac:dyDescent="0.15"/>
    <row r="28" ht="15" customHeight="1" x14ac:dyDescent="0.15"/>
    <row r="29" ht="15" customHeight="1" x14ac:dyDescent="0.15"/>
    <row r="30" ht="15" customHeight="1" x14ac:dyDescent="0.15"/>
    <row r="31" ht="15" customHeight="1" x14ac:dyDescent="0.15"/>
    <row r="32" ht="15" customHeight="1" x14ac:dyDescent="0.15"/>
    <row r="33" ht="15" customHeight="1" x14ac:dyDescent="0.15"/>
    <row r="34" ht="15" customHeight="1" x14ac:dyDescent="0.15"/>
    <row r="35" ht="15" customHeight="1" x14ac:dyDescent="0.15"/>
    <row r="36" ht="15" customHeight="1" x14ac:dyDescent="0.15"/>
    <row r="37" ht="15" customHeight="1" x14ac:dyDescent="0.15"/>
    <row r="38" ht="15" customHeight="1" x14ac:dyDescent="0.15"/>
    <row r="39" ht="15" customHeight="1" x14ac:dyDescent="0.15"/>
    <row r="40" ht="15" customHeight="1" x14ac:dyDescent="0.15"/>
    <row r="41" ht="15" customHeight="1" x14ac:dyDescent="0.15"/>
    <row r="42" ht="15" customHeight="1" x14ac:dyDescent="0.15"/>
    <row r="43" ht="15" customHeight="1" x14ac:dyDescent="0.15"/>
    <row r="44" ht="15" customHeight="1" x14ac:dyDescent="0.15"/>
    <row r="45" ht="15" customHeight="1" x14ac:dyDescent="0.15"/>
    <row r="46" ht="15" customHeight="1" x14ac:dyDescent="0.15"/>
    <row r="47" ht="15" customHeight="1" x14ac:dyDescent="0.15"/>
    <row r="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  <row r="68" ht="15" customHeight="1" x14ac:dyDescent="0.15"/>
    <row r="69" ht="15" customHeight="1" x14ac:dyDescent="0.15"/>
    <row r="70" ht="15" customHeight="1" x14ac:dyDescent="0.15"/>
    <row r="71" ht="15" customHeight="1" x14ac:dyDescent="0.15"/>
    <row r="72" ht="15" customHeight="1" x14ac:dyDescent="0.15"/>
    <row r="73" ht="15" customHeight="1" x14ac:dyDescent="0.15"/>
    <row r="74" ht="15" customHeight="1" x14ac:dyDescent="0.15"/>
    <row r="75" ht="15" customHeight="1" x14ac:dyDescent="0.15"/>
    <row r="76" ht="15" customHeight="1" x14ac:dyDescent="0.15"/>
    <row r="77" ht="15" customHeight="1" x14ac:dyDescent="0.15"/>
    <row r="78" ht="15" customHeight="1" x14ac:dyDescent="0.15"/>
    <row r="79" ht="15" customHeight="1" x14ac:dyDescent="0.15"/>
    <row r="82" spans="1:2" ht="22" customHeight="1" x14ac:dyDescent="0.15">
      <c r="A82" s="28" t="s">
        <v>3</v>
      </c>
      <c r="B82" s="21"/>
    </row>
    <row r="83" spans="1:2" ht="15" customHeight="1" x14ac:dyDescent="0.15"/>
    <row r="84" spans="1:2" ht="15" customHeight="1" x14ac:dyDescent="0.15"/>
    <row r="85" spans="1:2" ht="15" customHeight="1" x14ac:dyDescent="0.15"/>
    <row r="86" spans="1:2" ht="15" customHeight="1" x14ac:dyDescent="0.15"/>
    <row r="87" spans="1:2" ht="15" customHeight="1" x14ac:dyDescent="0.15"/>
    <row r="88" spans="1:2" ht="15" customHeight="1" x14ac:dyDescent="0.15"/>
    <row r="89" spans="1:2" ht="15" customHeight="1" x14ac:dyDescent="0.15"/>
    <row r="90" spans="1:2" ht="15" customHeight="1" x14ac:dyDescent="0.15"/>
    <row r="91" spans="1:2" ht="15" customHeight="1" x14ac:dyDescent="0.15"/>
    <row r="92" spans="1:2" ht="15" customHeight="1" x14ac:dyDescent="0.15"/>
    <row r="93" spans="1:2" ht="15" customHeight="1" x14ac:dyDescent="0.15"/>
    <row r="94" spans="1:2" ht="15" customHeight="1" x14ac:dyDescent="0.15"/>
    <row r="95" spans="1:2" ht="15" customHeight="1" x14ac:dyDescent="0.15"/>
    <row r="96" spans="1:2" ht="15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15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spans="1:2" ht="15" customHeight="1" x14ac:dyDescent="0.15"/>
    <row r="146" spans="1:2" ht="15" customHeight="1" x14ac:dyDescent="0.15"/>
    <row r="147" spans="1:2" ht="15" customHeight="1" x14ac:dyDescent="0.15"/>
    <row r="148" spans="1:2" ht="15" customHeight="1" x14ac:dyDescent="0.15"/>
    <row r="149" spans="1:2" ht="15" customHeight="1" x14ac:dyDescent="0.15"/>
    <row r="150" spans="1:2" ht="15" customHeight="1" x14ac:dyDescent="0.15"/>
    <row r="151" spans="1:2" ht="15" customHeight="1" x14ac:dyDescent="0.15"/>
    <row r="152" spans="1:2" ht="15" customHeight="1" x14ac:dyDescent="0.15"/>
    <row r="153" spans="1:2" ht="15" customHeight="1" x14ac:dyDescent="0.15"/>
    <row r="154" spans="1:2" ht="15" customHeight="1" x14ac:dyDescent="0.15"/>
    <row r="155" spans="1:2" ht="15" customHeight="1" x14ac:dyDescent="0.15"/>
    <row r="156" spans="1:2" ht="15" customHeight="1" x14ac:dyDescent="0.15"/>
    <row r="157" spans="1:2" ht="15" customHeight="1" x14ac:dyDescent="0.15"/>
    <row r="160" spans="1:2" ht="22" customHeight="1" x14ac:dyDescent="0.15">
      <c r="A160" s="28" t="s">
        <v>4</v>
      </c>
      <c r="B160" s="21"/>
    </row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spans="1:2" ht="15" customHeight="1" x14ac:dyDescent="0.15"/>
    <row r="226" spans="1:2" ht="15" customHeight="1" x14ac:dyDescent="0.15"/>
    <row r="227" spans="1:2" ht="15" customHeight="1" x14ac:dyDescent="0.15"/>
    <row r="228" spans="1:2" ht="15" customHeight="1" x14ac:dyDescent="0.15"/>
    <row r="229" spans="1:2" ht="15" customHeight="1" x14ac:dyDescent="0.15"/>
    <row r="230" spans="1:2" ht="15" customHeight="1" x14ac:dyDescent="0.15"/>
    <row r="231" spans="1:2" ht="15" customHeight="1" x14ac:dyDescent="0.15"/>
    <row r="232" spans="1:2" ht="15" customHeight="1" x14ac:dyDescent="0.15"/>
    <row r="233" spans="1:2" ht="15" customHeight="1" x14ac:dyDescent="0.15"/>
    <row r="234" spans="1:2" ht="15" customHeight="1" x14ac:dyDescent="0.15"/>
    <row r="235" spans="1:2" ht="15" customHeight="1" x14ac:dyDescent="0.15"/>
    <row r="238" spans="1:2" ht="22" customHeight="1" x14ac:dyDescent="0.15">
      <c r="A238" s="28" t="s">
        <v>5</v>
      </c>
      <c r="B238" s="21"/>
    </row>
    <row r="239" spans="1:2" ht="15" customHeight="1" x14ac:dyDescent="0.15"/>
    <row r="240" spans="1:2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spans="1:2" ht="15" customHeight="1" x14ac:dyDescent="0.15"/>
    <row r="306" spans="1:2" ht="15" customHeight="1" x14ac:dyDescent="0.15"/>
    <row r="307" spans="1:2" ht="15" customHeight="1" x14ac:dyDescent="0.15"/>
    <row r="308" spans="1:2" ht="15" customHeight="1" x14ac:dyDescent="0.15"/>
    <row r="309" spans="1:2" ht="15" customHeight="1" x14ac:dyDescent="0.15"/>
    <row r="310" spans="1:2" ht="15" customHeight="1" x14ac:dyDescent="0.15"/>
    <row r="311" spans="1:2" ht="15" customHeight="1" x14ac:dyDescent="0.15"/>
    <row r="312" spans="1:2" ht="15" customHeight="1" x14ac:dyDescent="0.15"/>
    <row r="313" spans="1:2" ht="15" customHeight="1" x14ac:dyDescent="0.15"/>
    <row r="316" spans="1:2" ht="22" customHeight="1" x14ac:dyDescent="0.15">
      <c r="A316" s="28" t="s">
        <v>6</v>
      </c>
      <c r="B316" s="21"/>
    </row>
    <row r="317" spans="1:2" ht="15" customHeight="1" x14ac:dyDescent="0.15"/>
    <row r="318" spans="1:2" ht="15" customHeight="1" x14ac:dyDescent="0.15"/>
    <row r="319" spans="1:2" ht="15" customHeight="1" x14ac:dyDescent="0.15"/>
    <row r="320" spans="1:2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</sheetData>
  <mergeCells count="7">
    <mergeCell ref="A316:B316"/>
    <mergeCell ref="A160:B160"/>
    <mergeCell ref="A1:B1"/>
    <mergeCell ref="A238:B238"/>
    <mergeCell ref="A4:B4"/>
    <mergeCell ref="A2:B2"/>
    <mergeCell ref="A82:B8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L27"/>
  <sheetViews>
    <sheetView tabSelected="1" showOutlineSymbols="0" showWhiteSpace="0" topLeftCell="BN1" workbookViewId="0">
      <selection activeCell="BN1" sqref="BN1:EL27"/>
    </sheetView>
  </sheetViews>
  <sheetFormatPr baseColWidth="10" defaultColWidth="8.83203125" defaultRowHeight="14" x14ac:dyDescent="0.15"/>
  <cols>
    <col min="1" max="1" width="11.83203125" bestFit="1" customWidth="1"/>
    <col min="2" max="2" width="22.83203125" bestFit="1" customWidth="1"/>
    <col min="3" max="3" width="24" bestFit="1" customWidth="1"/>
    <col min="4" max="4" width="7.5" bestFit="1" customWidth="1"/>
    <col min="5" max="5" width="13" bestFit="1" customWidth="1"/>
    <col min="6" max="6" width="14.1640625" bestFit="1" customWidth="1"/>
    <col min="7" max="7" width="5.33203125" bestFit="1" customWidth="1"/>
    <col min="8" max="8" width="6.33203125" bestFit="1" customWidth="1"/>
    <col min="9" max="9" width="15.1640625" bestFit="1" customWidth="1"/>
    <col min="10" max="10" width="6.33203125" bestFit="1" customWidth="1"/>
    <col min="11" max="11" width="7.5" bestFit="1" customWidth="1"/>
    <col min="12" max="12" width="10.83203125" bestFit="1" customWidth="1"/>
    <col min="13" max="14" width="7.5" bestFit="1" customWidth="1"/>
    <col min="15" max="15" width="11.83203125" bestFit="1" customWidth="1"/>
    <col min="16" max="16" width="26.1640625" bestFit="1" customWidth="1"/>
    <col min="17" max="18" width="6.33203125" bestFit="1" customWidth="1"/>
    <col min="19" max="19" width="7.5" bestFit="1" customWidth="1"/>
    <col min="20" max="20" width="30.6640625" bestFit="1" customWidth="1"/>
    <col min="21" max="23" width="6.33203125" bestFit="1" customWidth="1"/>
    <col min="24" max="24" width="13" bestFit="1" customWidth="1"/>
    <col min="25" max="26" width="7.5" bestFit="1" customWidth="1"/>
    <col min="27" max="27" width="31.6640625" bestFit="1" customWidth="1"/>
    <col min="28" max="28" width="5.33203125" bestFit="1" customWidth="1"/>
    <col min="29" max="29" width="7.5" bestFit="1" customWidth="1"/>
    <col min="30" max="30" width="17.33203125" bestFit="1" customWidth="1"/>
    <col min="31" max="31" width="5.33203125" bestFit="1" customWidth="1"/>
    <col min="32" max="32" width="7.5" bestFit="1" customWidth="1"/>
    <col min="33" max="33" width="18.5" bestFit="1" customWidth="1"/>
    <col min="34" max="34" width="4.1640625" bestFit="1" customWidth="1"/>
    <col min="35" max="35" width="7.5" bestFit="1" customWidth="1"/>
    <col min="36" max="36" width="16.33203125" bestFit="1" customWidth="1"/>
    <col min="37" max="37" width="5.33203125" bestFit="1" customWidth="1"/>
    <col min="38" max="38" width="7.5" bestFit="1" customWidth="1"/>
    <col min="39" max="39" width="11.83203125" bestFit="1" customWidth="1"/>
    <col min="40" max="40" width="5.33203125" bestFit="1" customWidth="1"/>
    <col min="41" max="41" width="7.5" bestFit="1" customWidth="1"/>
    <col min="42" max="44" width="18.5" bestFit="1" customWidth="1"/>
    <col min="45" max="45" width="19.6640625" bestFit="1" customWidth="1"/>
    <col min="46" max="46" width="6.33203125" bestFit="1" customWidth="1"/>
    <col min="47" max="47" width="7.5" bestFit="1" customWidth="1"/>
    <col min="48" max="48" width="14.1640625" bestFit="1" customWidth="1"/>
    <col min="49" max="49" width="18.5" bestFit="1" customWidth="1"/>
    <col min="50" max="50" width="6.33203125" bestFit="1" customWidth="1"/>
    <col min="51" max="51" width="7.5" bestFit="1" customWidth="1"/>
    <col min="52" max="52" width="20.6640625" bestFit="1" customWidth="1"/>
    <col min="53" max="54" width="7.5" bestFit="1" customWidth="1"/>
    <col min="55" max="55" width="16.33203125" bestFit="1" customWidth="1"/>
    <col min="56" max="56" width="6.33203125" bestFit="1" customWidth="1"/>
    <col min="57" max="57" width="7.5" bestFit="1" customWidth="1"/>
    <col min="58" max="58" width="16.33203125" bestFit="1" customWidth="1"/>
    <col min="59" max="59" width="5.33203125" bestFit="1" customWidth="1"/>
    <col min="60" max="60" width="7.5" bestFit="1" customWidth="1"/>
    <col min="61" max="61" width="9.6640625" bestFit="1" customWidth="1"/>
    <col min="62" max="62" width="7.5" bestFit="1" customWidth="1"/>
    <col min="63" max="63" width="6.33203125" bestFit="1" customWidth="1"/>
    <col min="64" max="64" width="9.6640625" bestFit="1" customWidth="1"/>
    <col min="65" max="65" width="8.6640625" bestFit="1" customWidth="1"/>
    <col min="66" max="66" width="15.1640625" bestFit="1" customWidth="1"/>
    <col min="67" max="68" width="7.5" bestFit="1" customWidth="1"/>
    <col min="69" max="69" width="15.1640625" bestFit="1" customWidth="1"/>
    <col min="70" max="70" width="6.33203125" bestFit="1" customWidth="1"/>
    <col min="71" max="71" width="7.5" bestFit="1" customWidth="1"/>
    <col min="72" max="72" width="18.5" bestFit="1" customWidth="1"/>
    <col min="73" max="73" width="6.33203125" bestFit="1" customWidth="1"/>
    <col min="74" max="74" width="7.5" bestFit="1" customWidth="1"/>
    <col min="75" max="75" width="18.5" bestFit="1" customWidth="1"/>
    <col min="76" max="77" width="7.5" bestFit="1" customWidth="1"/>
    <col min="78" max="78" width="15.1640625" bestFit="1" customWidth="1"/>
    <col min="79" max="79" width="6.33203125" bestFit="1" customWidth="1"/>
    <col min="80" max="81" width="7.5" bestFit="1" customWidth="1"/>
  </cols>
  <sheetData>
    <row r="1" spans="1:142" ht="56" customHeight="1" x14ac:dyDescent="0.15">
      <c r="I1" s="21"/>
      <c r="J1" s="21"/>
      <c r="K1" s="21"/>
      <c r="L1" s="21"/>
      <c r="M1" s="21"/>
      <c r="N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S1" s="21"/>
      <c r="AT1" s="21"/>
      <c r="AU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N1" t="s">
        <v>7</v>
      </c>
      <c r="BO1" t="s">
        <v>8</v>
      </c>
      <c r="BP1" t="s">
        <v>9</v>
      </c>
      <c r="BQ1" t="s">
        <v>10</v>
      </c>
      <c r="BR1" t="s">
        <v>11</v>
      </c>
      <c r="BS1" t="s">
        <v>12</v>
      </c>
      <c r="BT1" t="s">
        <v>13</v>
      </c>
      <c r="BU1" t="s">
        <v>14</v>
      </c>
      <c r="BV1" s="21" t="s">
        <v>15</v>
      </c>
      <c r="BW1" s="21" t="s">
        <v>476</v>
      </c>
      <c r="BX1" s="21" t="s">
        <v>476</v>
      </c>
      <c r="BY1" t="s">
        <v>16</v>
      </c>
      <c r="BZ1" s="21" t="s">
        <v>17</v>
      </c>
      <c r="CA1" s="21" t="s">
        <v>476</v>
      </c>
      <c r="CB1" s="21" t="s">
        <v>476</v>
      </c>
      <c r="CC1" s="21" t="s">
        <v>476</v>
      </c>
      <c r="CD1" s="21" t="s">
        <v>18</v>
      </c>
      <c r="CE1" s="21" t="s">
        <v>476</v>
      </c>
      <c r="CF1" s="21" t="s">
        <v>476</v>
      </c>
      <c r="CG1" s="21" t="s">
        <v>476</v>
      </c>
      <c r="CH1" s="21" t="s">
        <v>19</v>
      </c>
      <c r="CI1" s="21" t="s">
        <v>476</v>
      </c>
      <c r="CJ1" s="21" t="s">
        <v>476</v>
      </c>
      <c r="CK1" s="21" t="s">
        <v>20</v>
      </c>
      <c r="CL1" s="21" t="s">
        <v>476</v>
      </c>
      <c r="CM1" s="21" t="s">
        <v>476</v>
      </c>
      <c r="CN1" s="21" t="s">
        <v>21</v>
      </c>
      <c r="CO1" s="21" t="s">
        <v>476</v>
      </c>
      <c r="CP1" s="21" t="s">
        <v>476</v>
      </c>
      <c r="CQ1" s="21" t="s">
        <v>22</v>
      </c>
      <c r="CR1" s="21" t="s">
        <v>476</v>
      </c>
      <c r="CS1" s="21" t="s">
        <v>476</v>
      </c>
      <c r="CT1" s="21" t="s">
        <v>23</v>
      </c>
      <c r="CU1" s="21" t="s">
        <v>476</v>
      </c>
      <c r="CV1" s="21" t="s">
        <v>476</v>
      </c>
      <c r="CW1" s="21" t="s">
        <v>24</v>
      </c>
      <c r="CX1" s="21" t="s">
        <v>476</v>
      </c>
      <c r="CY1" s="21" t="s">
        <v>476</v>
      </c>
      <c r="CZ1" t="s">
        <v>25</v>
      </c>
      <c r="DA1" t="s">
        <v>26</v>
      </c>
      <c r="DB1" s="21" t="s">
        <v>27</v>
      </c>
      <c r="DC1" s="21" t="s">
        <v>476</v>
      </c>
      <c r="DD1" s="21" t="s">
        <v>476</v>
      </c>
      <c r="DE1" t="s">
        <v>28</v>
      </c>
      <c r="DF1" s="21" t="s">
        <v>29</v>
      </c>
      <c r="DG1" s="21" t="s">
        <v>476</v>
      </c>
      <c r="DH1" s="21" t="s">
        <v>476</v>
      </c>
      <c r="DI1" s="21" t="s">
        <v>30</v>
      </c>
      <c r="DJ1" s="21" t="s">
        <v>476</v>
      </c>
      <c r="DK1" s="21" t="s">
        <v>476</v>
      </c>
      <c r="DL1" s="21" t="s">
        <v>31</v>
      </c>
      <c r="DM1" s="21" t="s">
        <v>476</v>
      </c>
      <c r="DN1" s="21" t="s">
        <v>476</v>
      </c>
      <c r="DO1" s="21" t="s">
        <v>32</v>
      </c>
      <c r="DP1" s="21" t="s">
        <v>476</v>
      </c>
      <c r="DQ1" s="21" t="s">
        <v>476</v>
      </c>
      <c r="DR1" t="s">
        <v>33</v>
      </c>
      <c r="DS1" t="s">
        <v>34</v>
      </c>
      <c r="DT1" t="s">
        <v>35</v>
      </c>
      <c r="DU1" t="s">
        <v>36</v>
      </c>
      <c r="DV1" t="s">
        <v>37</v>
      </c>
      <c r="DW1" s="21" t="s">
        <v>38</v>
      </c>
      <c r="DX1" s="21" t="s">
        <v>476</v>
      </c>
      <c r="DY1" s="21" t="s">
        <v>476</v>
      </c>
      <c r="DZ1" s="21" t="s">
        <v>39</v>
      </c>
      <c r="EA1" s="21" t="s">
        <v>476</v>
      </c>
      <c r="EB1" s="21" t="s">
        <v>476</v>
      </c>
      <c r="EC1" s="21" t="s">
        <v>40</v>
      </c>
      <c r="ED1" s="21" t="s">
        <v>476</v>
      </c>
      <c r="EE1" s="21" t="s">
        <v>476</v>
      </c>
      <c r="EF1" s="21" t="s">
        <v>41</v>
      </c>
      <c r="EG1" s="21" t="s">
        <v>476</v>
      </c>
      <c r="EH1" s="21" t="s">
        <v>476</v>
      </c>
      <c r="EI1" s="21" t="s">
        <v>42</v>
      </c>
      <c r="EJ1" s="21" t="s">
        <v>476</v>
      </c>
      <c r="EK1" s="21" t="s">
        <v>476</v>
      </c>
      <c r="EL1" t="s">
        <v>43</v>
      </c>
    </row>
    <row r="2" spans="1:142" x14ac:dyDescent="0.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 t="s">
        <v>44</v>
      </c>
      <c r="BO2" s="1"/>
      <c r="BP2" s="1"/>
      <c r="BQ2" s="1"/>
      <c r="BR2" s="1"/>
      <c r="BS2" s="1"/>
      <c r="BT2" s="1">
        <f t="shared" ref="BT2:BW3" si="0">AVERAGE(BT4,BT6,BT8,BT10,BT12,BT14,BT16,BT18,BT20,BT22,BT24,BT26,BT28,BT30,BT32,BT34,BT36,BT38,BT40,BT42,BT44,BT46)</f>
        <v>2.3636363636363638</v>
      </c>
      <c r="BU2" s="1">
        <f t="shared" si="0"/>
        <v>1.8536363636363633</v>
      </c>
      <c r="BV2" s="1">
        <f t="shared" si="0"/>
        <v>18.272727272727273</v>
      </c>
      <c r="BW2" s="1">
        <f t="shared" si="0"/>
        <v>7.2727272727272725</v>
      </c>
      <c r="BX2" s="1">
        <f>IFERROR(SUM(BW4,BW6,BW8,BW10,BW12,BW14,BW16,BW18,BW20,BW22,BW24,BW26,BW28,BW30,BW32,BW34,BW36,BW38,BW40,BW42,BW44,BW46)/SUM(BV4,BV6,BV8,BV10,BV12,BV14,BV16,BV18,BV20,BV22,BV24,BV26,BV28,BV30,BV32,BV34,BV36,BV38,BV40,BV42,BV44,BV46)*100,0)</f>
        <v>39.800995024875625</v>
      </c>
      <c r="BY2" s="1">
        <f t="shared" ref="BY2:CI3" si="1">AVERAGE(BY4,BY6,BY8,BY10,BY12,BY14,BY16,BY18,BY20,BY22,BY24,BY26,BY28,BY30,BY32,BY34,BY36,BY38,BY40,BY42,BY44,BY46)</f>
        <v>54.970909090909089</v>
      </c>
      <c r="BZ2" s="1">
        <f t="shared" si="1"/>
        <v>138.63636363636363</v>
      </c>
      <c r="CA2" s="1">
        <f t="shared" si="1"/>
        <v>15.727272727272727</v>
      </c>
      <c r="CB2" s="1">
        <f t="shared" si="1"/>
        <v>45.81818181818182</v>
      </c>
      <c r="CC2" s="1">
        <f t="shared" si="1"/>
        <v>77.090909090909093</v>
      </c>
      <c r="CD2" s="1">
        <f t="shared" si="1"/>
        <v>104.36363636363636</v>
      </c>
      <c r="CE2" s="1">
        <f t="shared" si="1"/>
        <v>34.81818181818182</v>
      </c>
      <c r="CF2" s="1">
        <f t="shared" si="1"/>
        <v>46.545454545454547</v>
      </c>
      <c r="CG2" s="1">
        <f t="shared" si="1"/>
        <v>23</v>
      </c>
      <c r="CH2" s="1">
        <f t="shared" si="1"/>
        <v>196.63636363636363</v>
      </c>
      <c r="CI2" s="1">
        <f t="shared" si="1"/>
        <v>101.81818181818181</v>
      </c>
      <c r="CJ2" s="1">
        <f>IFERROR(SUM(CI4,CI6,CI8,CI10,CI12,CI14,CI16,CI18,CI20,CI22,CI24,CI26,CI28,CI30,CI32,CI34,CI36,CI38,CI40,CI42,CI44,CI46)/SUM(CH4,CH6,CH8,CH10,CH12,CH14,CH16,CH18,CH20,CH22,CH24,CH26,CH28,CH30,CH32,CH34,CH36,CH38,CH40,CH42,CH44,CH46)*100,0)</f>
        <v>51.779935275080902</v>
      </c>
      <c r="CK2" s="1">
        <f>AVERAGE(CK4,CK6,CK8,CK10,CK12,CK14,CK16,CK18,CK20,CK22,CK24,CK26,CK28,CK30,CK32,CK34,CK36,CK38,CK40,CK42,CK44,CK46)</f>
        <v>8.454545454545455</v>
      </c>
      <c r="CL2" s="1">
        <f>AVERAGE(CL4,CL6,CL8,CL10,CL12,CL14,CL16,CL18,CL20,CL22,CL24,CL26,CL28,CL30,CL32,CL34,CL36,CL38,CL40,CL42,CL44,CL46)</f>
        <v>3.2727272727272729</v>
      </c>
      <c r="CM2" s="1">
        <f>IFERROR(SUM(CL4,CL6,CL8,CL10,CL12,CL14,CL16,CL18,CL20,CL22,CL24,CL26,CL28,CL30,CL32,CL34,CL36,CL38,CL40,CL42,CL44,CL46)/SUM(CK4,CK6,CK8,CK10,CK12,CK14,CK16,CK18,CK20,CK22,CK24,CK26,CK28,CK30,CK32,CK34,CK36,CK38,CK40,CK42,CK44,CK46)*100,0)</f>
        <v>38.70967741935484</v>
      </c>
      <c r="CN2" s="1">
        <f>AVERAGE(CN4,CN6,CN8,CN10,CN12,CN14,CN16,CN18,CN20,CN22,CN24,CN26,CN28,CN30,CN32,CN34,CN36,CN38,CN40,CN42,CN44,CN46)</f>
        <v>46.81818181818182</v>
      </c>
      <c r="CO2" s="1">
        <f>AVERAGE(CO4,CO6,CO8,CO10,CO12,CO14,CO16,CO18,CO20,CO22,CO24,CO26,CO28,CO30,CO32,CO34,CO36,CO38,CO40,CO42,CO44,CO46)</f>
        <v>14.363636363636363</v>
      </c>
      <c r="CP2" s="1">
        <f>IFERROR(SUM(CO4,CO6,CO8,CO10,CO12,CO14,CO16,CO18,CO20,CO22,CO24,CO26,CO28,CO30,CO32,CO34,CO36,CO38,CO40,CO42,CO44,CO46)/SUM(CN4,CN6,CN8,CN10,CN12,CN14,CN16,CN18,CN20,CN22,CN24,CN26,CN28,CN30,CN32,CN34,CN36,CN38,CN40,CN42,CN44,CN46)*100,0)</f>
        <v>30.679611650485437</v>
      </c>
      <c r="CQ2" s="1">
        <f>AVERAGE(CQ4,CQ6,CQ8,CQ10,CQ12,CQ14,CQ16,CQ18,CQ20,CQ22,CQ24,CQ26,CQ28,CQ30,CQ32,CQ34,CQ36,CQ38,CQ40,CQ42,CQ44,CQ46)</f>
        <v>17</v>
      </c>
      <c r="CR2" s="1">
        <f>AVERAGE(CR4,CR6,CR8,CR10,CR12,CR14,CR16,CR18,CR20,CR22,CR24,CR26,CR28,CR30,CR32,CR34,CR36,CR38,CR40,CR42,CR44,CR46)</f>
        <v>3.2727272727272729</v>
      </c>
      <c r="CS2" s="1">
        <f>IFERROR(SUM(CR4,CR6,CR8,CR10,CR12,CR14,CR16,CR18,CR20,CR22,CR24,CR26,CR28,CR30,CR32,CR34,CR36,CR38,CR40,CR42,CR44,CR46)/SUM(CQ4,CQ6,CQ8,CQ10,CQ12,CQ14,CQ16,CQ18,CQ20,CQ22,CQ24,CQ26,CQ28,CQ30,CQ32,CQ34,CQ36,CQ38,CQ40,CQ42,CQ44,CQ46)*100,0)</f>
        <v>19.251336898395721</v>
      </c>
      <c r="CT2" s="1">
        <f>AVERAGE(CT4,CT6,CT8,CT10,CT12,CT14,CT16,CT18,CT20,CT22,CT24,CT26,CT28,CT30,CT32,CT34,CT36,CT38,CT40,CT42,CT44,CT46)</f>
        <v>6.1818181818181817</v>
      </c>
      <c r="CU2" s="1">
        <f>AVERAGE(CU4,CU6,CU8,CU10,CU12,CU14,CU16,CU18,CU20,CU22,CU24,CU26,CU28,CU30,CU32,CU34,CU36,CU38,CU40,CU42,CU44,CU46)</f>
        <v>2.0909090909090908</v>
      </c>
      <c r="CV2" s="1">
        <f>IFERROR(SUM(CU4,CU6,CU8,CU10,CU12,CU14,CU16,CU18,CU20,CU22,CU24,CU26,CU28,CU30,CU32,CU34,CU36,CU38,CU40,CU42,CU44,CU46)/SUM(CT4,CT6,CT8,CT10,CT12,CT14,CT16,CT18,CT20,CT22,CT24,CT26,CT28,CT30,CT32,CT34,CT36,CT38,CT40,CT42,CT44,CT46)*100,0)</f>
        <v>33.82352941176471</v>
      </c>
      <c r="CW2" s="1">
        <f>AVERAGE(CW4,CW6,CW8,CW10,CW12,CW14,CW16,CW18,CW20,CW22,CW24,CW26,CW28,CW30,CW32,CW34,CW36,CW38,CW40,CW42,CW44,CW46)</f>
        <v>18.545454545454547</v>
      </c>
      <c r="CX2" s="1">
        <f>AVERAGE(CX4,CX6,CX8,CX10,CX12,CX14,CX16,CX18,CX20,CX22,CX24,CX26,CX28,CX30,CX32,CX34,CX36,CX38,CX40,CX42,CX44,CX46)</f>
        <v>4.7272727272727275</v>
      </c>
      <c r="CY2" s="1">
        <f>IFERROR(SUM(CX4,CX6,CX8,CX10,CX12,CX14,CX16,CX18,CX20,CX22,CX24,CX26,CX28,CX30,CX32,CX34,CX36,CX38,CX40,CX42,CX44,CX46)/SUM(CW4,CW6,CW8,CW10,CW12,CW14,CW16,CW18,CW20,CW22,CW24,CW26,CW28,CW30,CW32,CW34,CW36,CW38,CW40,CW42,CW44,CW46)*100,0)</f>
        <v>25.490196078431371</v>
      </c>
      <c r="CZ2" s="1">
        <f t="shared" ref="CZ2:DC3" si="2">AVERAGE(CZ4,CZ6,CZ8,CZ10,CZ12,CZ14,CZ16,CZ18,CZ20,CZ22,CZ24,CZ26,CZ28,CZ30,CZ32,CZ34,CZ36,CZ38,CZ40,CZ42,CZ44,CZ46)</f>
        <v>8.6363636363636367</v>
      </c>
      <c r="DA2" s="1">
        <f t="shared" si="2"/>
        <v>23.545454545454547</v>
      </c>
      <c r="DB2" s="1">
        <f t="shared" si="2"/>
        <v>74.272727272727266</v>
      </c>
      <c r="DC2" s="1">
        <f t="shared" si="2"/>
        <v>24.454545454545453</v>
      </c>
      <c r="DD2" s="1">
        <f>IFERROR(SUM(DC4,DC6,DC8,DC10,DC12,DC14,DC16,DC18,DC20,DC22,DC24,DC26,DC28,DC30,DC32,DC34,DC36,DC38,DC40,DC42,DC44,DC46)/SUM(DB4,DB6,DB8,DB10,DB12,DB14,DB16,DB18,DB20,DB22,DB24,DB26,DB28,DB30,DB32,DB34,DB36,DB38,DB40,DB42,DB44,DB46)*100,0)</f>
        <v>32.925336597307222</v>
      </c>
      <c r="DE2" s="1">
        <f t="shared" ref="DE2:DG3" si="3">AVERAGE(DE4,DE6,DE8,DE10,DE12,DE14,DE16,DE18,DE20,DE22,DE24,DE26,DE28,DE30,DE32,DE34,DE36,DE38,DE40,DE42,DE44,DE46)</f>
        <v>0.18181818181818182</v>
      </c>
      <c r="DF2" s="1">
        <f t="shared" si="3"/>
        <v>6.7272727272727275</v>
      </c>
      <c r="DG2" s="1">
        <f t="shared" si="3"/>
        <v>2.2727272727272729</v>
      </c>
      <c r="DH2" s="1">
        <f>IFERROR(SUM(DG4,DG6,DG8,DG10,DG12,DG14,DG16,DG18,DG20,DG22,DG24,DG26,DG28,DG30,DG32,DG34,DG36,DG38,DG40,DG42,DG44,DG46)/SUM(DF4,DF6,DF8,DF10,DF12,DF14,DF16,DF18,DF20,DF22,DF24,DF26,DF28,DF30,DF32,DF34,DF36,DF38,DF40,DF42,DF44,DF46)*100,0)</f>
        <v>33.783783783783782</v>
      </c>
      <c r="DI2" s="1">
        <f>AVERAGE(DI4,DI6,DI8,DI10,DI12,DI14,DI16,DI18,DI20,DI22,DI24,DI26,DI28,DI30,DI32,DI34,DI36,DI38,DI40,DI42,DI44,DI46)</f>
        <v>83.909090909090907</v>
      </c>
      <c r="DJ2" s="1">
        <f>AVERAGE(DJ4,DJ6,DJ8,DJ10,DJ12,DJ14,DJ16,DJ18,DJ20,DJ22,DJ24,DJ26,DJ28,DJ30,DJ32,DJ34,DJ36,DJ38,DJ40,DJ42,DJ44,DJ46)</f>
        <v>60.545454545454547</v>
      </c>
      <c r="DK2" s="1">
        <f>IFERROR(SUM(DJ4,DJ6,DJ8,DJ10,DJ12,DJ14,DJ16,DJ18,DJ20,DJ22,DJ24,DJ26,DJ28,DJ30,DJ32,DJ34,DJ36,DJ38,DJ40,DJ42,DJ44,DJ46)/SUM(DI4,DI6,DI8,DI10,DI12,DI14,DI16,DI18,DI20,DI22,DI24,DI26,DI28,DI30,DI32,DI34,DI36,DI38,DI40,DI42,DI44,DI46)*100,0)</f>
        <v>72.156013001083423</v>
      </c>
      <c r="DL2" s="1">
        <f>AVERAGE(DL4,DL6,DL8,DL10,DL12,DL14,DL16,DL18,DL20,DL22,DL24,DL26,DL28,DL30,DL32,DL34,DL36,DL38,DL40,DL42,DL44,DL46)</f>
        <v>15.272727272727273</v>
      </c>
      <c r="DM2" s="1">
        <f>AVERAGE(DM4,DM6,DM8,DM10,DM12,DM14,DM16,DM18,DM20,DM22,DM24,DM26,DM28,DM30,DM32,DM34,DM36,DM38,DM40,DM42,DM44,DM46)</f>
        <v>6.4545454545454541</v>
      </c>
      <c r="DN2" s="1">
        <f>IFERROR(SUM(DM4,DM6,DM8,DM10,DM12,DM14,DM16,DM18,DM20,DM22,DM24,DM26,DM28,DM30,DM32,DM34,DM36,DM38,DM40,DM42,DM44,DM46)/SUM(DL4,DL6,DL8,DL10,DL12,DL14,DL16,DL18,DL20,DL22,DL24,DL26,DL28,DL30,DL32,DL34,DL36,DL38,DL40,DL42,DL44,DL46)*100,0)</f>
        <v>42.261904761904759</v>
      </c>
      <c r="DO2" s="1">
        <f>AVERAGE(DO4,DO6,DO8,DO10,DO12,DO14,DO16,DO18,DO20,DO22,DO24,DO26,DO28,DO30,DO32,DO34,DO36,DO38,DO40,DO42,DO44,DO46)</f>
        <v>1.9090909090909092</v>
      </c>
      <c r="DP2" s="1">
        <f>AVERAGE(DP4,DP6,DP8,DP10,DP12,DP14,DP16,DP18,DP20,DP22,DP24,DP26,DP28,DP30,DP32,DP34,DP36,DP38,DP40,DP42,DP44,DP46)</f>
        <v>0.81818181818181823</v>
      </c>
      <c r="DQ2" s="1">
        <f>IFERROR(SUM(DP4,DP6,DP8,DP10,DP12,DP14,DP16,DP18,DP20,DP22,DP24,DP26,DP28,DP30,DP32,DP34,DP36,DP38,DP40,DP42,DP44,DP46)/SUM(DO4,DO6,DO8,DO10,DO12,DO14,DO16,DO18,DO20,DO22,DO24,DO26,DO28,DO30,DO32,DO34,DO36,DO38,DO40,DO42,DO44,DO46)*100,0)</f>
        <v>42.857142857142854</v>
      </c>
      <c r="DR2" s="1">
        <f t="shared" ref="DR2:DX3" si="4">AVERAGE(DR4,DR6,DR8,DR10,DR12,DR14,DR16,DR18,DR20,DR22,DR24,DR26,DR28,DR30,DR32,DR34,DR36,DR38,DR40,DR42,DR44,DR46)</f>
        <v>49</v>
      </c>
      <c r="DS2" s="1">
        <f t="shared" si="4"/>
        <v>14.363636363636363</v>
      </c>
      <c r="DT2" s="1">
        <f t="shared" si="4"/>
        <v>8.6363636363636367</v>
      </c>
      <c r="DU2" s="1">
        <f t="shared" si="4"/>
        <v>0.63636363636363635</v>
      </c>
      <c r="DV2" s="1">
        <f t="shared" si="4"/>
        <v>0</v>
      </c>
      <c r="DW2" s="1">
        <f t="shared" si="4"/>
        <v>176.27272727272728</v>
      </c>
      <c r="DX2" s="1">
        <f t="shared" si="4"/>
        <v>116.54545454545455</v>
      </c>
      <c r="DY2" s="1">
        <f>IFERROR(SUM(DX4,DX6,DX8,DX10,DX12,DX14,DX16,DX18,DX20,DX22,DX24,DX26,DX28,DX30,DX32,DX34,DX36,DX38,DX40,DX42,DX44,DX46)/SUM(DW4,DW6,DW8,DW10,DW12,DW14,DW16,DW18,DW20,DW22,DW24,DW26,DW28,DW30,DW32,DW34,DW36,DW38,DW40,DW42,DW44,DW46)*100,0)</f>
        <v>66.116554925219191</v>
      </c>
      <c r="DZ2" s="1">
        <f>AVERAGE(DZ4,DZ6,DZ8,DZ10,DZ12,DZ14,DZ16,DZ18,DZ20,DZ22,DZ24,DZ26,DZ28,DZ30,DZ32,DZ34,DZ36,DZ38,DZ40,DZ42,DZ44,DZ46)</f>
        <v>55.454545454545453</v>
      </c>
      <c r="EA2" s="1">
        <f>AVERAGE(EA4,EA6,EA8,EA10,EA12,EA14,EA16,EA18,EA20,EA22,EA24,EA26,EA28,EA30,EA32,EA34,EA36,EA38,EA40,EA42,EA44,EA46)</f>
        <v>24.727272727272727</v>
      </c>
      <c r="EB2" s="1">
        <f>IFERROR(SUM(EA4,EA6,EA8,EA10,EA12,EA14,EA16,EA18,EA20,EA22,EA24,EA26,EA28,EA30,EA32,EA34,EA36,EA38,EA40,EA42,EA44,EA46)/SUM(DZ4,DZ6,DZ8,DZ10,DZ12,DZ14,DZ16,DZ18,DZ20,DZ22,DZ24,DZ26,DZ28,DZ30,DZ32,DZ34,DZ36,DZ38,DZ40,DZ42,DZ44,DZ46)*100,0)</f>
        <v>44.590163934426229</v>
      </c>
      <c r="EC2" s="1">
        <f>AVERAGE(EC4,EC6,EC8,EC10,EC12,EC14,EC16,EC18,EC20,EC22,EC24,EC26,EC28,EC30,EC32,EC34,EC36,EC38,EC40,EC42,EC44,EC46)</f>
        <v>70.181818181818187</v>
      </c>
      <c r="ED2" s="1">
        <f>AVERAGE(ED4,ED6,ED8,ED10,ED12,ED14,ED16,ED18,ED20,ED22,ED24,ED26,ED28,ED30,ED32,ED34,ED36,ED38,ED40,ED42,ED44,ED46)</f>
        <v>40.090909090909093</v>
      </c>
      <c r="EE2" s="1">
        <f>IFERROR(SUM(ED4,ED6,ED8,ED10,ED12,ED14,ED16,ED18,ED20,ED22,ED24,ED26,ED28,ED30,ED32,ED34,ED36,ED38,ED40,ED42,ED44,ED46)/SUM(EC4,EC6,EC8,EC10,EC12,EC14,EC16,EC18,EC20,EC22,EC24,EC26,EC28,EC30,EC32,EC34,EC36,EC38,EC40,EC42,EC44,EC46)*100,0)</f>
        <v>57.124352331606218</v>
      </c>
      <c r="EF2" s="1">
        <f>AVERAGE(EF4,EF6,EF8,EF10,EF12,EF14,EF16,EF18,EF20,EF22,EF24,EF26,EF28,EF30,EF32,EF34,EF36,EF38,EF40,EF42,EF44,EF46)</f>
        <v>87.818181818181813</v>
      </c>
      <c r="EG2" s="1">
        <f>AVERAGE(EG4,EG6,EG8,EG10,EG12,EG14,EG16,EG18,EG20,EG22,EG24,EG26,EG28,EG30,EG32,EG34,EG36,EG38,EG40,EG42,EG44,EG46)</f>
        <v>60.727272727272727</v>
      </c>
      <c r="EH2" s="1">
        <f>IFERROR(SUM(EG4,EG6,EG8,EG10,EG12,EG14,EG16,EG18,EG20,EG22,EG24,EG26,EG28,EG30,EG32,EG34,EG36,EG38,EG40,EG42,EG44,EG46)/SUM(EF4,EF6,EF8,EF10,EF12,EF14,EF16,EF18,EF20,EF22,EF24,EF26,EF28,EF30,EF32,EF34,EF36,EF38,EF40,EF42,EF44,EF46)*100,0)</f>
        <v>69.151138716356115</v>
      </c>
      <c r="EI2" s="1">
        <f>AVERAGE(EI4,EI6,EI8,EI10,EI12,EI14,EI16,EI18,EI20,EI22,EI24,EI26,EI28,EI30,EI32,EI34,EI36,EI38,EI40,EI42,EI44,EI46)</f>
        <v>31.09090909090909</v>
      </c>
      <c r="EJ2" s="1">
        <f>AVERAGE(EJ4,EJ6,EJ8,EJ10,EJ12,EJ14,EJ16,EJ18,EJ20,EJ22,EJ24,EJ26,EJ28,EJ30,EJ32,EJ34,EJ36,EJ38,EJ40,EJ42,EJ44,EJ46)</f>
        <v>24.545454545454547</v>
      </c>
      <c r="EK2" s="1">
        <f>IFERROR(SUM(EJ4,EJ6,EJ8,EJ10,EJ12,EJ14,EJ16,EJ18,EJ20,EJ22,EJ24,EJ26,EJ28,EJ30,EJ32,EJ34,EJ36,EJ38,EJ40,EJ42,EJ44,EJ46)/SUM(EI4,EI6,EI8,EI10,EI12,EI14,EI16,EI18,EI20,EI22,EI24,EI26,EI28,EI30,EI32,EI34,EI36,EI38,EI40,EI42,EI44,EI46)*100,0)</f>
        <v>78.94736842105263</v>
      </c>
      <c r="EL2" s="1">
        <f>AVERAGE(EL4,EL6,EL8,EL10,EL12,EL14,EL16,EL18,EL20,EL22,EL24,EL26,EL28,EL30,EL32,EL34,EL36,EL38,EL40,EL42,EL44,EL46)</f>
        <v>6.4718181818181817</v>
      </c>
    </row>
    <row r="3" spans="1:142" x14ac:dyDescent="0.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 t="s">
        <v>45</v>
      </c>
      <c r="BO3" s="1"/>
      <c r="BP3" s="1"/>
      <c r="BQ3" s="1"/>
      <c r="BR3" s="1"/>
      <c r="BS3" s="1"/>
      <c r="BT3" s="1">
        <f t="shared" si="0"/>
        <v>0.18181818181818182</v>
      </c>
      <c r="BU3" s="1">
        <f t="shared" si="0"/>
        <v>0.4336363636363636</v>
      </c>
      <c r="BV3" s="1">
        <f t="shared" si="0"/>
        <v>6.7272727272727275</v>
      </c>
      <c r="BW3" s="1">
        <f t="shared" si="0"/>
        <v>2.0909090909090908</v>
      </c>
      <c r="BX3" s="1">
        <f>IFERROR(SUM(BW5,BW7,BW9,BW11,BW13,BW15,BW17,BW19,BW21,BW23,BW25,BW27,BW29,BW31,BW33,BW35,BW37,BW39,BW41,BW43,BW45,BW47)/SUM(BV5,BV7,BV9,BV11,BV13,BV15,BV17,BV19,BV21,BV23,BV25,BV27,BV29,BV31,BV33,BV35,BV37,BV39,BV41,BV43,BV45,BV47)*100,0)</f>
        <v>31.081081081081081</v>
      </c>
      <c r="BY3" s="1">
        <f t="shared" si="1"/>
        <v>45.029090909090904</v>
      </c>
      <c r="BZ3" s="1">
        <f t="shared" si="1"/>
        <v>153.45454545454547</v>
      </c>
      <c r="CA3" s="1">
        <f t="shared" si="1"/>
        <v>36</v>
      </c>
      <c r="CB3" s="1">
        <f t="shared" si="1"/>
        <v>64.454545454545453</v>
      </c>
      <c r="CC3" s="1">
        <f t="shared" si="1"/>
        <v>53</v>
      </c>
      <c r="CD3" s="1">
        <f t="shared" si="1"/>
        <v>89</v>
      </c>
      <c r="CE3" s="1">
        <f t="shared" si="1"/>
        <v>46.727272727272727</v>
      </c>
      <c r="CF3" s="1">
        <f t="shared" si="1"/>
        <v>33.636363636363633</v>
      </c>
      <c r="CG3" s="1">
        <f t="shared" si="1"/>
        <v>8.6363636363636367</v>
      </c>
      <c r="CH3" s="1">
        <f t="shared" si="1"/>
        <v>196.63636363636363</v>
      </c>
      <c r="CI3" s="1">
        <f t="shared" si="1"/>
        <v>91.36363636363636</v>
      </c>
      <c r="CJ3" s="1">
        <f>IFERROR(SUM(CI5,CI7,CI9,CI11,CI13,CI15,CI17,CI19,CI21,CI23,CI25,CI27,CI29,CI31,CI33,CI35,CI37,CI39,CI41,CI43,CI45,CI47)/SUM(CH5,CH7,CH9,CH11,CH13,CH15,CH17,CH19,CH21,CH23,CH25,CH27,CH29,CH31,CH33,CH35,CH37,CH39,CH41,CH43,CH45,CH47)*100,0)</f>
        <v>46.463245492371705</v>
      </c>
      <c r="CK3" s="1">
        <f>AVERAGE(CK5,CK7,CK9,CK11,CK13,CK15,CK17,CK19,CK21,CK23,CK25,CK27,CK29,CK31,CK33,CK35,CK37,CK39,CK41,CK43,CK45,CK47)</f>
        <v>4.0909090909090908</v>
      </c>
      <c r="CL3" s="1">
        <f>AVERAGE(CL5,CL7,CL9,CL11,CL13,CL15,CL17,CL19,CL21,CL23,CL25,CL27,CL29,CL31,CL33,CL35,CL37,CL39,CL41,CL43,CL45,CL47)</f>
        <v>1.1818181818181819</v>
      </c>
      <c r="CM3" s="1">
        <f>IFERROR(SUM(CL5,CL7,CL9,CL11,CL13,CL15,CL17,CL19,CL21,CL23,CL25,CL27,CL29,CL31,CL33,CL35,CL37,CL39,CL41,CL43,CL45,CL47)/SUM(CK5,CK7,CK9,CK11,CK13,CK15,CK17,CK19,CK21,CK23,CK25,CK27,CK29,CK31,CK33,CK35,CK37,CK39,CK41,CK43,CK45,CK47)*100,0)</f>
        <v>28.888888888888886</v>
      </c>
      <c r="CN3" s="1">
        <f>AVERAGE(CN5,CN7,CN9,CN11,CN13,CN15,CN17,CN19,CN21,CN23,CN25,CN27,CN29,CN31,CN33,CN35,CN37,CN39,CN41,CN43,CN45,CN47)</f>
        <v>23.454545454545453</v>
      </c>
      <c r="CO3" s="1">
        <f>AVERAGE(CO5,CO7,CO9,CO11,CO13,CO15,CO17,CO19,CO21,CO23,CO25,CO27,CO29,CO31,CO33,CO35,CO37,CO39,CO41,CO43,CO45,CO47)</f>
        <v>4.1818181818181817</v>
      </c>
      <c r="CP3" s="1">
        <f>IFERROR(SUM(CO5,CO7,CO9,CO11,CO13,CO15,CO17,CO19,CO21,CO23,CO25,CO27,CO29,CO31,CO33,CO35,CO37,CO39,CO41,CO43,CO45,CO47)/SUM(CN5,CN7,CN9,CN11,CN13,CN15,CN17,CN19,CN21,CN23,CN25,CN27,CN29,CN31,CN33,CN35,CN37,CN39,CN41,CN43,CN45,CN47)*100,0)</f>
        <v>17.829457364341085</v>
      </c>
      <c r="CQ3" s="1">
        <f>AVERAGE(CQ5,CQ7,CQ9,CQ11,CQ13,CQ15,CQ17,CQ19,CQ21,CQ23,CQ25,CQ27,CQ29,CQ31,CQ33,CQ35,CQ37,CQ39,CQ41,CQ43,CQ45,CQ47)</f>
        <v>28.181818181818183</v>
      </c>
      <c r="CR3" s="1">
        <f>AVERAGE(CR5,CR7,CR9,CR11,CR13,CR15,CR17,CR19,CR21,CR23,CR25,CR27,CR29,CR31,CR33,CR35,CR37,CR39,CR41,CR43,CR45,CR47)</f>
        <v>2</v>
      </c>
      <c r="CS3" s="1">
        <f>IFERROR(SUM(CR5,CR7,CR9,CR11,CR13,CR15,CR17,CR19,CR21,CR23,CR25,CR27,CR29,CR31,CR33,CR35,CR37,CR39,CR41,CR43,CR45,CR47)/SUM(CQ5,CQ7,CQ9,CQ11,CQ13,CQ15,CQ17,CQ19,CQ21,CQ23,CQ25,CQ27,CQ29,CQ31,CQ33,CQ35,CQ37,CQ39,CQ41,CQ43,CQ45,CQ47)*100,0)</f>
        <v>7.096774193548387</v>
      </c>
      <c r="CT3" s="1">
        <f>AVERAGE(CT5,CT7,CT9,CT11,CT13,CT15,CT17,CT19,CT21,CT23,CT25,CT27,CT29,CT31,CT33,CT35,CT37,CT39,CT41,CT43,CT45,CT47)</f>
        <v>3.0909090909090908</v>
      </c>
      <c r="CU3" s="1">
        <f>AVERAGE(CU5,CU7,CU9,CU11,CU13,CU15,CU17,CU19,CU21,CU23,CU25,CU27,CU29,CU31,CU33,CU35,CU37,CU39,CU41,CU43,CU45,CU47)</f>
        <v>0.81818181818181823</v>
      </c>
      <c r="CV3" s="1">
        <f>IFERROR(SUM(CU5,CU7,CU9,CU11,CU13,CU15,CU17,CU19,CU21,CU23,CU25,CU27,CU29,CU31,CU33,CU35,CU37,CU39,CU41,CU43,CU45,CU47)/SUM(CT5,CT7,CT9,CT11,CT13,CT15,CT17,CT19,CT21,CT23,CT25,CT27,CT29,CT31,CT33,CT35,CT37,CT39,CT41,CT43,CT45,CT47)*100,0)</f>
        <v>26.47058823529412</v>
      </c>
      <c r="CW3" s="1">
        <f>AVERAGE(CW5,CW7,CW9,CW11,CW13,CW15,CW17,CW19,CW21,CW23,CW25,CW27,CW29,CW31,CW33,CW35,CW37,CW39,CW41,CW43,CW45,CW47)</f>
        <v>9.3636363636363633</v>
      </c>
      <c r="CX3" s="1">
        <f>AVERAGE(CX5,CX7,CX9,CX11,CX13,CX15,CX17,CX19,CX21,CX23,CX25,CX27,CX29,CX31,CX33,CX35,CX37,CX39,CX41,CX43,CX45,CX47)</f>
        <v>2</v>
      </c>
      <c r="CY3" s="1">
        <f>IFERROR(SUM(CX5,CX7,CX9,CX11,CX13,CX15,CX17,CX19,CX21,CX23,CX25,CX27,CX29,CX31,CX33,CX35,CX37,CX39,CX41,CX43,CX45,CX47)/SUM(CW5,CW7,CW9,CW11,CW13,CW15,CW17,CW19,CW21,CW23,CW25,CW27,CW29,CW31,CW33,CW35,CW37,CW39,CW41,CW43,CW45,CW47)*100,0)</f>
        <v>21.359223300970871</v>
      </c>
      <c r="CZ3" s="1">
        <f t="shared" si="2"/>
        <v>2.2727272727272729</v>
      </c>
      <c r="DA3" s="1">
        <f t="shared" si="2"/>
        <v>7.1818181818181817</v>
      </c>
      <c r="DB3" s="1">
        <f t="shared" si="2"/>
        <v>83.909090909090907</v>
      </c>
      <c r="DC3" s="1">
        <f t="shared" si="2"/>
        <v>23.363636363636363</v>
      </c>
      <c r="DD3" s="1">
        <f>IFERROR(SUM(DC5,DC7,DC9,DC11,DC13,DC15,DC17,DC19,DC21,DC23,DC25,DC27,DC29,DC31,DC33,DC35,DC37,DC39,DC41,DC43,DC45,DC47)/SUM(DB5,DB7,DB9,DB11,DB13,DB15,DB17,DB19,DB21,DB23,DB25,DB27,DB29,DB31,DB33,DB35,DB37,DB39,DB41,DB43,DB45,DB47)*100,0)</f>
        <v>27.843986998916577</v>
      </c>
      <c r="DE3" s="1">
        <f t="shared" si="3"/>
        <v>2.3636363636363638</v>
      </c>
      <c r="DF3" s="1">
        <f t="shared" si="3"/>
        <v>18.272727272727273</v>
      </c>
      <c r="DG3" s="1">
        <f t="shared" si="3"/>
        <v>8.0909090909090917</v>
      </c>
      <c r="DH3" s="1">
        <f>IFERROR(SUM(DG5,DG7,DG9,DG11,DG13,DG15,DG17,DG19,DG21,DG23,DG25,DG27,DG29,DG31,DG33,DG35,DG37,DG39,DG41,DG43,DG45,DG47)/SUM(DF5,DF7,DF9,DF11,DF13,DF15,DF17,DF19,DF21,DF23,DF25,DF27,DF29,DF31,DF33,DF35,DF37,DF39,DF41,DF43,DF45,DF47)*100,0)</f>
        <v>44.278606965174127</v>
      </c>
      <c r="DI3" s="1">
        <f>AVERAGE(DI5,DI7,DI9,DI11,DI13,DI15,DI17,DI19,DI21,DI23,DI25,DI27,DI29,DI31,DI33,DI35,DI37,DI39,DI41,DI43,DI45,DI47)</f>
        <v>74.272727272727266</v>
      </c>
      <c r="DJ3" s="1">
        <f>AVERAGE(DJ5,DJ7,DJ9,DJ11,DJ13,DJ15,DJ17,DJ19,DJ21,DJ23,DJ25,DJ27,DJ29,DJ31,DJ33,DJ35,DJ37,DJ39,DJ41,DJ43,DJ45,DJ47)</f>
        <v>49.81818181818182</v>
      </c>
      <c r="DK3" s="1">
        <f>IFERROR(SUM(DJ5,DJ7,DJ9,DJ11,DJ13,DJ15,DJ17,DJ19,DJ21,DJ23,DJ25,DJ27,DJ29,DJ31,DJ33,DJ35,DJ37,DJ39,DJ41,DJ43,DJ45,DJ47)/SUM(DI5,DI7,DI9,DI11,DI13,DI15,DI17,DI19,DI21,DI23,DI25,DI27,DI29,DI31,DI33,DI35,DI37,DI39,DI41,DI43,DI45,DI47)*100,0)</f>
        <v>67.074663402692778</v>
      </c>
      <c r="DL3" s="1">
        <f>AVERAGE(DL5,DL7,DL9,DL11,DL13,DL15,DL17,DL19,DL21,DL23,DL25,DL27,DL29,DL31,DL33,DL35,DL37,DL39,DL41,DL43,DL45,DL47)</f>
        <v>15.272727272727273</v>
      </c>
      <c r="DM3" s="1">
        <f>AVERAGE(DM5,DM7,DM9,DM11,DM13,DM15,DM17,DM19,DM21,DM23,DM25,DM27,DM29,DM31,DM33,DM35,DM37,DM39,DM41,DM43,DM45,DM47)</f>
        <v>7.6363636363636367</v>
      </c>
      <c r="DN3" s="1">
        <f>IFERROR(SUM(DM5,DM7,DM9,DM11,DM13,DM15,DM17,DM19,DM21,DM23,DM25,DM27,DM29,DM31,DM33,DM35,DM37,DM39,DM41,DM43,DM45,DM47)/SUM(DL5,DL7,DL9,DL11,DL13,DL15,DL17,DL19,DL21,DL23,DL25,DL27,DL29,DL31,DL33,DL35,DL37,DL39,DL41,DL43,DL45,DL47)*100,0)</f>
        <v>50</v>
      </c>
      <c r="DO3" s="1">
        <f>AVERAGE(DO5,DO7,DO9,DO11,DO13,DO15,DO17,DO19,DO21,DO23,DO25,DO27,DO29,DO31,DO33,DO35,DO37,DO39,DO41,DO43,DO45,DO47)</f>
        <v>2.8181818181818183</v>
      </c>
      <c r="DP3" s="1">
        <f>AVERAGE(DP5,DP7,DP9,DP11,DP13,DP15,DP17,DP19,DP21,DP23,DP25,DP27,DP29,DP31,DP33,DP35,DP37,DP39,DP41,DP43,DP45,DP47)</f>
        <v>1.8181818181818181</v>
      </c>
      <c r="DQ3" s="1">
        <f>IFERROR(SUM(DP5,DP7,DP9,DP11,DP13,DP15,DP17,DP19,DP21,DP23,DP25,DP27,DP29,DP31,DP33,DP35,DP37,DP39,DP41,DP43,DP45,DP47)/SUM(DO5,DO7,DO9,DO11,DO13,DO15,DO17,DO19,DO21,DO23,DO25,DO27,DO29,DO31,DO33,DO35,DO37,DO39,DO41,DO43,DO45,DO47)*100,0)</f>
        <v>64.516129032258064</v>
      </c>
      <c r="DR3" s="1">
        <f t="shared" si="4"/>
        <v>46.636363636363633</v>
      </c>
      <c r="DS3" s="1">
        <f t="shared" si="4"/>
        <v>17.727272727272727</v>
      </c>
      <c r="DT3" s="1">
        <f t="shared" si="4"/>
        <v>4.6363636363636367</v>
      </c>
      <c r="DU3" s="1">
        <f t="shared" si="4"/>
        <v>0.63636363636363635</v>
      </c>
      <c r="DV3" s="1">
        <f t="shared" si="4"/>
        <v>0</v>
      </c>
      <c r="DW3" s="1">
        <f t="shared" si="4"/>
        <v>149.27272727272728</v>
      </c>
      <c r="DX3" s="1">
        <f t="shared" si="4"/>
        <v>84.63636363636364</v>
      </c>
      <c r="DY3" s="1">
        <f>IFERROR(SUM(DX5,DX7,DX9,DX11,DX13,DX15,DX17,DX19,DX21,DX23,DX25,DX27,DX29,DX31,DX33,DX35,DX37,DX39,DX41,DX43,DX45,DX47)/SUM(DW5,DW7,DW9,DW11,DW13,DW15,DW17,DW19,DW21,DW23,DW25,DW27,DW29,DW31,DW33,DW35,DW37,DW39,DW41,DW43,DW45,DW47)*100,0)</f>
        <v>56.699147381242391</v>
      </c>
      <c r="DZ3" s="1">
        <f>AVERAGE(DZ5,DZ7,DZ9,DZ11,DZ13,DZ15,DZ17,DZ19,DZ21,DZ23,DZ25,DZ27,DZ29,DZ31,DZ33,DZ35,DZ37,DZ39,DZ41,DZ43,DZ45,DZ47)</f>
        <v>52.272727272727273</v>
      </c>
      <c r="EA3" s="1">
        <f>AVERAGE(EA5,EA7,EA9,EA11,EA13,EA15,EA17,EA19,EA21,EA23,EA25,EA27,EA29,EA31,EA33,EA35,EA37,EA39,EA41,EA43,EA45,EA47)</f>
        <v>21.545454545454547</v>
      </c>
      <c r="EB3" s="1">
        <f>IFERROR(SUM(EA5,EA7,EA9,EA11,EA13,EA15,EA17,EA19,EA21,EA23,EA25,EA27,EA29,EA31,EA33,EA35,EA37,EA39,EA41,EA43,EA45,EA47)/SUM(DZ5,DZ7,DZ9,DZ11,DZ13,DZ15,DZ17,DZ19,DZ21,DZ23,DZ25,DZ27,DZ29,DZ31,DZ33,DZ35,DZ37,DZ39,DZ41,DZ43,DZ45,DZ47)*100,0)</f>
        <v>41.217391304347828</v>
      </c>
      <c r="EC3" s="1">
        <f>AVERAGE(EC5,EC7,EC9,EC11,EC13,EC15,EC17,EC19,EC21,EC23,EC25,EC27,EC29,EC31,EC33,EC35,EC37,EC39,EC41,EC43,EC45,EC47)</f>
        <v>43.636363636363633</v>
      </c>
      <c r="ED3" s="1">
        <f>AVERAGE(ED5,ED7,ED9,ED11,ED13,ED15,ED17,ED19,ED21,ED23,ED25,ED27,ED29,ED31,ED33,ED35,ED37,ED39,ED41,ED43,ED45,ED47)</f>
        <v>22.454545454545453</v>
      </c>
      <c r="EE3" s="1">
        <f>IFERROR(SUM(ED5,ED7,ED9,ED11,ED13,ED15,ED17,ED19,ED21,ED23,ED25,ED27,ED29,ED31,ED33,ED35,ED37,ED39,ED41,ED43,ED45,ED47)/SUM(EC5,EC7,EC9,EC11,EC13,EC15,EC17,EC19,EC21,EC23,EC25,EC27,EC29,EC31,EC33,EC35,EC37,EC39,EC41,EC43,EC45,EC47)*100,0)</f>
        <v>51.458333333333329</v>
      </c>
      <c r="EF3" s="1">
        <f>AVERAGE(EF5,EF7,EF9,EF11,EF13,EF15,EF17,EF19,EF21,EF23,EF25,EF27,EF29,EF31,EF33,EF35,EF37,EF39,EF41,EF43,EF45,EF47)</f>
        <v>78.909090909090907</v>
      </c>
      <c r="EG3" s="1">
        <f>AVERAGE(EG5,EG7,EG9,EG11,EG13,EG15,EG17,EG19,EG21,EG23,EG25,EG27,EG29,EG31,EG33,EG35,EG37,EG39,EG41,EG43,EG45,EG47)</f>
        <v>33.636363636363633</v>
      </c>
      <c r="EH3" s="1">
        <f>IFERROR(SUM(EG5,EG7,EG9,EG11,EG13,EG15,EG17,EG19,EG21,EG23,EG25,EG27,EG29,EG31,EG33,EG35,EG37,EG39,EG41,EG43,EG45,EG47)/SUM(EF5,EF7,EF9,EF11,EF13,EF15,EF17,EF19,EF21,EF23,EF25,EF27,EF29,EF31,EF33,EF35,EF37,EF39,EF41,EF43,EF45,EF47)*100,0)</f>
        <v>42.626728110599075</v>
      </c>
      <c r="EI3" s="1">
        <f>AVERAGE(EI5,EI7,EI9,EI11,EI13,EI15,EI17,EI19,EI21,EI23,EI25,EI27,EI29,EI31,EI33,EI35,EI37,EI39,EI41,EI43,EI45,EI47)</f>
        <v>30.90909090909091</v>
      </c>
      <c r="EJ3" s="1">
        <f>AVERAGE(EJ5,EJ7,EJ9,EJ11,EJ13,EJ15,EJ17,EJ19,EJ21,EJ23,EJ25,EJ27,EJ29,EJ31,EJ33,EJ35,EJ37,EJ39,EJ41,EJ43,EJ45,EJ47)</f>
        <v>22.272727272727273</v>
      </c>
      <c r="EK3" s="1">
        <f>IFERROR(SUM(EJ5,EJ7,EJ9,EJ11,EJ13,EJ15,EJ17,EJ19,EJ21,EJ23,EJ25,EJ27,EJ29,EJ31,EJ33,EJ35,EJ37,EJ39,EJ41,EJ43,EJ45,EJ47)/SUM(EI5,EI7,EI9,EI11,EI13,EI15,EI17,EI19,EI21,EI23,EI25,EI27,EI29,EI31,EI33,EI35,EI37,EI39,EI41,EI43,EI45,EI47)*100,0)</f>
        <v>72.058823529411768</v>
      </c>
      <c r="EL3" s="1">
        <f>AVERAGE(EL5,EL7,EL9,EL11,EL13,EL15,EL17,EL19,EL21,EL23,EL25,EL27,EL29,EL31,EL33,EL35,EL37,EL39,EL41,EL43,EL45,EL47)</f>
        <v>24.620909090909091</v>
      </c>
    </row>
    <row r="4" spans="1:142" ht="12" customHeight="1" x14ac:dyDescent="0.15">
      <c r="A4" s="21"/>
      <c r="B4" s="21"/>
      <c r="C4" s="21"/>
      <c r="D4" s="21"/>
      <c r="BN4" s="21" t="s">
        <v>477</v>
      </c>
      <c r="BO4" s="21" t="s">
        <v>478</v>
      </c>
      <c r="BP4" s="21" t="s">
        <v>48</v>
      </c>
      <c r="BQ4" s="21">
        <v>95</v>
      </c>
      <c r="BR4" t="s">
        <v>44</v>
      </c>
      <c r="BS4" t="s">
        <v>479</v>
      </c>
      <c r="BT4">
        <v>3</v>
      </c>
      <c r="BU4">
        <v>2.59</v>
      </c>
      <c r="BV4">
        <v>23</v>
      </c>
      <c r="BW4">
        <v>7</v>
      </c>
      <c r="BX4">
        <v>30.43</v>
      </c>
      <c r="BY4">
        <v>59.08</v>
      </c>
      <c r="BZ4">
        <v>160</v>
      </c>
      <c r="CA4">
        <v>11</v>
      </c>
      <c r="CB4">
        <v>53</v>
      </c>
      <c r="CC4">
        <v>96</v>
      </c>
      <c r="CD4">
        <v>106</v>
      </c>
      <c r="CE4">
        <v>30</v>
      </c>
      <c r="CF4">
        <v>54</v>
      </c>
      <c r="CG4">
        <v>22</v>
      </c>
      <c r="CH4">
        <v>163</v>
      </c>
      <c r="CI4">
        <v>74</v>
      </c>
      <c r="CJ4">
        <v>45.4</v>
      </c>
      <c r="CK4">
        <v>8</v>
      </c>
      <c r="CL4">
        <v>2</v>
      </c>
      <c r="CM4">
        <v>25</v>
      </c>
      <c r="CN4">
        <v>44</v>
      </c>
      <c r="CO4">
        <v>16</v>
      </c>
      <c r="CP4">
        <v>36.36</v>
      </c>
      <c r="CQ4">
        <v>16</v>
      </c>
      <c r="CR4">
        <v>7</v>
      </c>
      <c r="CS4">
        <v>43.75</v>
      </c>
      <c r="CT4">
        <v>6</v>
      </c>
      <c r="CU4">
        <v>5</v>
      </c>
      <c r="CV4">
        <v>83.33</v>
      </c>
      <c r="CW4">
        <v>16</v>
      </c>
      <c r="CX4">
        <v>2</v>
      </c>
      <c r="CY4">
        <v>12.5</v>
      </c>
      <c r="CZ4">
        <v>9</v>
      </c>
      <c r="DA4">
        <v>27</v>
      </c>
      <c r="DB4">
        <v>65</v>
      </c>
      <c r="DC4">
        <v>21</v>
      </c>
      <c r="DD4">
        <v>32.31</v>
      </c>
      <c r="DE4">
        <v>0</v>
      </c>
      <c r="DF4">
        <v>7</v>
      </c>
      <c r="DG4">
        <v>2</v>
      </c>
      <c r="DH4">
        <v>28.57</v>
      </c>
      <c r="DI4">
        <v>77</v>
      </c>
      <c r="DJ4">
        <v>46</v>
      </c>
      <c r="DK4">
        <v>59.74</v>
      </c>
      <c r="DL4">
        <v>8</v>
      </c>
      <c r="DM4">
        <v>0</v>
      </c>
      <c r="DN4">
        <v>0</v>
      </c>
      <c r="DO4">
        <v>5</v>
      </c>
      <c r="DP4">
        <v>1</v>
      </c>
      <c r="DQ4">
        <v>20</v>
      </c>
      <c r="DR4">
        <v>43</v>
      </c>
      <c r="DS4">
        <v>7</v>
      </c>
      <c r="DT4">
        <v>14</v>
      </c>
      <c r="DU4">
        <v>1</v>
      </c>
      <c r="DV4">
        <v>0</v>
      </c>
      <c r="DW4">
        <v>200</v>
      </c>
      <c r="DX4">
        <v>126</v>
      </c>
      <c r="DY4">
        <v>63</v>
      </c>
      <c r="DZ4">
        <v>73</v>
      </c>
      <c r="EA4">
        <v>27</v>
      </c>
      <c r="EB4">
        <v>36.99</v>
      </c>
      <c r="EC4">
        <v>83</v>
      </c>
      <c r="ED4">
        <v>35</v>
      </c>
      <c r="EE4">
        <v>42.17</v>
      </c>
      <c r="EF4">
        <v>84</v>
      </c>
      <c r="EG4">
        <v>60</v>
      </c>
      <c r="EH4">
        <v>71.430000000000007</v>
      </c>
      <c r="EI4">
        <v>28</v>
      </c>
      <c r="EJ4">
        <v>18</v>
      </c>
      <c r="EK4">
        <v>64.290000000000006</v>
      </c>
      <c r="EL4">
        <v>5.42</v>
      </c>
    </row>
    <row r="5" spans="1:142" ht="12" customHeight="1" x14ac:dyDescent="0.15">
      <c r="A5" s="21"/>
      <c r="B5" s="21"/>
      <c r="C5" s="21"/>
      <c r="D5" s="21"/>
      <c r="BN5" s="21" t="s">
        <v>477</v>
      </c>
      <c r="BO5" s="21" t="s">
        <v>478</v>
      </c>
      <c r="BP5" s="21" t="s">
        <v>48</v>
      </c>
      <c r="BQ5" s="21">
        <v>95</v>
      </c>
      <c r="BR5" t="s">
        <v>60</v>
      </c>
      <c r="BS5" t="s">
        <v>49</v>
      </c>
      <c r="BT5">
        <v>0</v>
      </c>
      <c r="BU5">
        <v>0.5</v>
      </c>
      <c r="BV5">
        <v>7</v>
      </c>
      <c r="BW5">
        <v>2</v>
      </c>
      <c r="BX5">
        <v>28.57</v>
      </c>
      <c r="BY5">
        <v>40.92</v>
      </c>
      <c r="BZ5">
        <v>174</v>
      </c>
      <c r="CA5">
        <v>47</v>
      </c>
      <c r="CB5">
        <v>75</v>
      </c>
      <c r="CC5">
        <v>52</v>
      </c>
      <c r="CD5">
        <v>104</v>
      </c>
      <c r="CE5">
        <v>56</v>
      </c>
      <c r="CF5">
        <v>43</v>
      </c>
      <c r="CG5">
        <v>5</v>
      </c>
      <c r="CH5">
        <v>163</v>
      </c>
      <c r="CI5">
        <v>87</v>
      </c>
      <c r="CJ5">
        <v>53.37</v>
      </c>
      <c r="CK5">
        <v>3</v>
      </c>
      <c r="CL5">
        <v>2</v>
      </c>
      <c r="CM5">
        <v>66.67</v>
      </c>
      <c r="CN5">
        <v>23</v>
      </c>
      <c r="CO5">
        <v>5</v>
      </c>
      <c r="CP5">
        <v>21.74</v>
      </c>
      <c r="CQ5">
        <v>27</v>
      </c>
      <c r="CR5">
        <v>1</v>
      </c>
      <c r="CS5">
        <v>3.7</v>
      </c>
      <c r="CT5">
        <v>2</v>
      </c>
      <c r="CU5">
        <v>1</v>
      </c>
      <c r="CV5">
        <v>50</v>
      </c>
      <c r="CW5">
        <v>6</v>
      </c>
      <c r="CX5">
        <v>2</v>
      </c>
      <c r="CY5">
        <v>33.33</v>
      </c>
      <c r="CZ5">
        <v>1</v>
      </c>
      <c r="DA5">
        <v>6</v>
      </c>
      <c r="DB5">
        <v>77</v>
      </c>
      <c r="DC5">
        <v>31</v>
      </c>
      <c r="DD5">
        <v>40.26</v>
      </c>
      <c r="DE5">
        <v>3</v>
      </c>
      <c r="DF5">
        <v>23</v>
      </c>
      <c r="DG5">
        <v>7</v>
      </c>
      <c r="DH5">
        <v>30.43</v>
      </c>
      <c r="DI5">
        <v>65</v>
      </c>
      <c r="DJ5">
        <v>44</v>
      </c>
      <c r="DK5">
        <v>67.69</v>
      </c>
      <c r="DL5">
        <v>8</v>
      </c>
      <c r="DM5">
        <v>7</v>
      </c>
      <c r="DN5">
        <v>87.5</v>
      </c>
      <c r="DO5">
        <v>6</v>
      </c>
      <c r="DP5">
        <v>6</v>
      </c>
      <c r="DQ5">
        <v>100</v>
      </c>
      <c r="DR5">
        <v>35</v>
      </c>
      <c r="DS5">
        <v>18</v>
      </c>
      <c r="DT5">
        <v>2</v>
      </c>
      <c r="DU5">
        <v>0</v>
      </c>
      <c r="DV5">
        <v>0</v>
      </c>
      <c r="DW5">
        <v>177</v>
      </c>
      <c r="DX5">
        <v>102</v>
      </c>
      <c r="DY5">
        <v>57.63</v>
      </c>
      <c r="DZ5">
        <v>54</v>
      </c>
      <c r="EA5">
        <v>18</v>
      </c>
      <c r="EB5">
        <v>33.33</v>
      </c>
      <c r="EC5">
        <v>48</v>
      </c>
      <c r="ED5">
        <v>21</v>
      </c>
      <c r="EE5">
        <v>43.75</v>
      </c>
      <c r="EF5">
        <v>96</v>
      </c>
      <c r="EG5">
        <v>36</v>
      </c>
      <c r="EH5">
        <v>37.5</v>
      </c>
      <c r="EI5">
        <v>23</v>
      </c>
      <c r="EJ5">
        <v>17</v>
      </c>
      <c r="EK5">
        <v>73.91</v>
      </c>
      <c r="EL5">
        <v>28.41</v>
      </c>
    </row>
    <row r="6" spans="1:142" ht="12" customHeight="1" x14ac:dyDescent="0.15">
      <c r="A6" s="21"/>
      <c r="B6" s="21"/>
      <c r="C6" s="21"/>
      <c r="D6" s="21"/>
      <c r="BN6" s="21" t="s">
        <v>46</v>
      </c>
      <c r="BO6" s="21" t="s">
        <v>47</v>
      </c>
      <c r="BP6" s="21" t="s">
        <v>48</v>
      </c>
      <c r="BQ6" s="21">
        <v>94</v>
      </c>
      <c r="BR6" t="s">
        <v>44</v>
      </c>
      <c r="BS6" t="s">
        <v>49</v>
      </c>
      <c r="BT6">
        <v>3</v>
      </c>
      <c r="BU6">
        <v>4.37</v>
      </c>
      <c r="BV6">
        <v>31</v>
      </c>
      <c r="BW6">
        <v>6</v>
      </c>
      <c r="BX6">
        <v>19.350000000000001</v>
      </c>
      <c r="BY6">
        <v>62.54</v>
      </c>
      <c r="BZ6">
        <v>108</v>
      </c>
      <c r="CA6">
        <v>1</v>
      </c>
      <c r="CB6">
        <v>13</v>
      </c>
      <c r="CC6">
        <v>94</v>
      </c>
      <c r="CD6">
        <v>91</v>
      </c>
      <c r="CE6">
        <v>8</v>
      </c>
      <c r="CF6">
        <v>38</v>
      </c>
      <c r="CG6">
        <v>45</v>
      </c>
      <c r="CH6">
        <v>179</v>
      </c>
      <c r="CI6">
        <v>84</v>
      </c>
      <c r="CJ6">
        <v>46.93</v>
      </c>
      <c r="CK6">
        <v>12</v>
      </c>
      <c r="CL6">
        <v>2</v>
      </c>
      <c r="CM6">
        <v>16.670000000000002</v>
      </c>
      <c r="CN6">
        <v>78</v>
      </c>
      <c r="CO6">
        <v>27</v>
      </c>
      <c r="CP6">
        <v>34.619999999999997</v>
      </c>
      <c r="CQ6">
        <v>13</v>
      </c>
      <c r="CR6">
        <v>3</v>
      </c>
      <c r="CS6">
        <v>23.08</v>
      </c>
      <c r="CT6">
        <v>8</v>
      </c>
      <c r="CU6">
        <v>3</v>
      </c>
      <c r="CV6">
        <v>37.5</v>
      </c>
      <c r="CW6">
        <v>29</v>
      </c>
      <c r="CX6">
        <v>7</v>
      </c>
      <c r="CY6">
        <v>24.14</v>
      </c>
      <c r="CZ6">
        <v>31</v>
      </c>
      <c r="DA6">
        <v>58</v>
      </c>
      <c r="DB6">
        <v>81</v>
      </c>
      <c r="DC6">
        <v>23</v>
      </c>
      <c r="DD6">
        <v>28.4</v>
      </c>
      <c r="DE6">
        <v>0</v>
      </c>
      <c r="DF6">
        <v>0</v>
      </c>
      <c r="DG6">
        <v>0</v>
      </c>
      <c r="DH6">
        <v>0</v>
      </c>
      <c r="DI6">
        <v>67</v>
      </c>
      <c r="DJ6">
        <v>47</v>
      </c>
      <c r="DK6">
        <v>70.150000000000006</v>
      </c>
      <c r="DL6">
        <v>7</v>
      </c>
      <c r="DM6">
        <v>4</v>
      </c>
      <c r="DN6">
        <v>57.14</v>
      </c>
      <c r="DO6">
        <v>1</v>
      </c>
      <c r="DP6">
        <v>0</v>
      </c>
      <c r="DQ6">
        <v>0</v>
      </c>
      <c r="DR6">
        <v>23</v>
      </c>
      <c r="DS6">
        <v>2</v>
      </c>
      <c r="DT6">
        <v>13</v>
      </c>
      <c r="DU6">
        <v>0</v>
      </c>
      <c r="DV6">
        <v>0</v>
      </c>
      <c r="DW6">
        <v>187</v>
      </c>
      <c r="DX6">
        <v>148</v>
      </c>
      <c r="DY6">
        <v>79.14</v>
      </c>
      <c r="DZ6">
        <v>40</v>
      </c>
      <c r="EA6">
        <v>26</v>
      </c>
      <c r="EB6">
        <v>65</v>
      </c>
      <c r="EC6">
        <v>95</v>
      </c>
      <c r="ED6">
        <v>74</v>
      </c>
      <c r="EE6">
        <v>77.89</v>
      </c>
      <c r="EF6">
        <v>110</v>
      </c>
      <c r="EG6">
        <v>101</v>
      </c>
      <c r="EH6">
        <v>91.82</v>
      </c>
      <c r="EI6">
        <v>31</v>
      </c>
      <c r="EJ6">
        <v>29</v>
      </c>
      <c r="EK6">
        <v>93.55</v>
      </c>
      <c r="EL6">
        <v>5.51</v>
      </c>
    </row>
    <row r="7" spans="1:142" ht="12" customHeight="1" x14ac:dyDescent="0.15">
      <c r="A7" s="21"/>
      <c r="B7" s="21"/>
      <c r="C7" s="21"/>
      <c r="D7" s="21"/>
      <c r="BN7" s="21" t="s">
        <v>46</v>
      </c>
      <c r="BO7" s="21" t="s">
        <v>47</v>
      </c>
      <c r="BP7" s="21" t="s">
        <v>48</v>
      </c>
      <c r="BQ7" s="21">
        <v>94</v>
      </c>
      <c r="BR7" t="s">
        <v>50</v>
      </c>
      <c r="BS7" t="s">
        <v>51</v>
      </c>
      <c r="BT7">
        <v>0</v>
      </c>
      <c r="BU7">
        <v>0</v>
      </c>
      <c r="BV7">
        <v>0</v>
      </c>
      <c r="BW7">
        <v>0</v>
      </c>
      <c r="BX7">
        <v>0</v>
      </c>
      <c r="BY7">
        <v>37.46</v>
      </c>
      <c r="BZ7">
        <v>140</v>
      </c>
      <c r="CA7">
        <v>63</v>
      </c>
      <c r="CB7">
        <v>61</v>
      </c>
      <c r="CC7">
        <v>16</v>
      </c>
      <c r="CD7">
        <v>75</v>
      </c>
      <c r="CE7">
        <v>68</v>
      </c>
      <c r="CF7">
        <v>6</v>
      </c>
      <c r="CG7">
        <v>1</v>
      </c>
      <c r="CH7">
        <v>179</v>
      </c>
      <c r="CI7">
        <v>93</v>
      </c>
      <c r="CJ7">
        <v>51.96</v>
      </c>
      <c r="CK7">
        <v>0</v>
      </c>
      <c r="CL7">
        <v>0</v>
      </c>
      <c r="CM7">
        <v>0</v>
      </c>
      <c r="CN7">
        <v>2</v>
      </c>
      <c r="CO7">
        <v>0</v>
      </c>
      <c r="CP7">
        <v>0</v>
      </c>
      <c r="CQ7">
        <v>42</v>
      </c>
      <c r="CR7">
        <v>0</v>
      </c>
      <c r="CS7">
        <v>0</v>
      </c>
      <c r="CT7">
        <v>0</v>
      </c>
      <c r="CU7">
        <v>0</v>
      </c>
      <c r="CV7">
        <v>0</v>
      </c>
      <c r="CW7">
        <v>1</v>
      </c>
      <c r="CX7">
        <v>0</v>
      </c>
      <c r="CY7">
        <v>0</v>
      </c>
      <c r="CZ7">
        <v>0</v>
      </c>
      <c r="DA7">
        <v>1</v>
      </c>
      <c r="DB7">
        <v>67</v>
      </c>
      <c r="DC7">
        <v>20</v>
      </c>
      <c r="DD7">
        <v>29.85</v>
      </c>
      <c r="DE7">
        <v>3</v>
      </c>
      <c r="DF7">
        <v>31</v>
      </c>
      <c r="DG7">
        <v>9</v>
      </c>
      <c r="DH7">
        <v>29.03</v>
      </c>
      <c r="DI7">
        <v>81</v>
      </c>
      <c r="DJ7">
        <v>58</v>
      </c>
      <c r="DK7">
        <v>71.599999999999994</v>
      </c>
      <c r="DL7">
        <v>7</v>
      </c>
      <c r="DM7">
        <v>2</v>
      </c>
      <c r="DN7">
        <v>28.57</v>
      </c>
      <c r="DO7">
        <v>2</v>
      </c>
      <c r="DP7">
        <v>0</v>
      </c>
      <c r="DQ7">
        <v>0</v>
      </c>
      <c r="DR7">
        <v>49</v>
      </c>
      <c r="DS7">
        <v>12</v>
      </c>
      <c r="DT7">
        <v>4</v>
      </c>
      <c r="DU7">
        <v>0</v>
      </c>
      <c r="DV7">
        <v>0</v>
      </c>
      <c r="DW7">
        <v>114</v>
      </c>
      <c r="DX7">
        <v>50</v>
      </c>
      <c r="DY7">
        <v>43.86</v>
      </c>
      <c r="DZ7">
        <v>48</v>
      </c>
      <c r="EA7">
        <v>11</v>
      </c>
      <c r="EB7">
        <v>22.92</v>
      </c>
      <c r="EC7">
        <v>15</v>
      </c>
      <c r="ED7">
        <v>6</v>
      </c>
      <c r="EE7">
        <v>40</v>
      </c>
      <c r="EF7">
        <v>80</v>
      </c>
      <c r="EG7">
        <v>11</v>
      </c>
      <c r="EH7">
        <v>13.75</v>
      </c>
      <c r="EI7">
        <v>17</v>
      </c>
      <c r="EJ7">
        <v>7</v>
      </c>
      <c r="EK7">
        <v>41.18</v>
      </c>
      <c r="EL7">
        <v>122.5</v>
      </c>
    </row>
    <row r="8" spans="1:142" ht="12" customHeight="1" x14ac:dyDescent="0.15">
      <c r="A8" s="21"/>
      <c r="B8" s="21"/>
      <c r="C8" s="21"/>
      <c r="D8" s="21"/>
      <c r="BN8" s="21" t="s">
        <v>52</v>
      </c>
      <c r="BO8" s="21" t="s">
        <v>53</v>
      </c>
      <c r="BP8" s="21" t="s">
        <v>48</v>
      </c>
      <c r="BQ8" s="21">
        <v>95</v>
      </c>
      <c r="BR8" t="s">
        <v>44</v>
      </c>
      <c r="BS8" t="s">
        <v>54</v>
      </c>
      <c r="BT8">
        <v>5</v>
      </c>
      <c r="BU8">
        <v>2.25</v>
      </c>
      <c r="BV8">
        <v>16</v>
      </c>
      <c r="BW8">
        <v>13</v>
      </c>
      <c r="BX8">
        <v>81.25</v>
      </c>
      <c r="BY8">
        <v>55.9</v>
      </c>
      <c r="BZ8">
        <v>137</v>
      </c>
      <c r="CA8">
        <v>20</v>
      </c>
      <c r="CB8">
        <v>48</v>
      </c>
      <c r="CC8">
        <v>69</v>
      </c>
      <c r="CD8">
        <v>105</v>
      </c>
      <c r="CE8">
        <v>39</v>
      </c>
      <c r="CF8">
        <v>44</v>
      </c>
      <c r="CG8">
        <v>22</v>
      </c>
      <c r="CH8">
        <v>242</v>
      </c>
      <c r="CI8">
        <v>126</v>
      </c>
      <c r="CJ8">
        <v>52.07</v>
      </c>
      <c r="CK8">
        <v>6</v>
      </c>
      <c r="CL8">
        <v>5</v>
      </c>
      <c r="CM8">
        <v>83.33</v>
      </c>
      <c r="CN8">
        <v>46</v>
      </c>
      <c r="CO8">
        <v>11</v>
      </c>
      <c r="CP8">
        <v>23.91</v>
      </c>
      <c r="CQ8">
        <v>17</v>
      </c>
      <c r="CR8">
        <v>5</v>
      </c>
      <c r="CS8">
        <v>29.41</v>
      </c>
      <c r="CT8">
        <v>5</v>
      </c>
      <c r="CU8">
        <v>3</v>
      </c>
      <c r="CV8">
        <v>60</v>
      </c>
      <c r="CW8">
        <v>14</v>
      </c>
      <c r="CX8">
        <v>2</v>
      </c>
      <c r="CY8">
        <v>14.29</v>
      </c>
      <c r="CZ8">
        <v>7</v>
      </c>
      <c r="DA8">
        <v>28</v>
      </c>
      <c r="DB8">
        <v>99</v>
      </c>
      <c r="DC8">
        <v>37</v>
      </c>
      <c r="DD8">
        <v>37.369999999999997</v>
      </c>
      <c r="DE8">
        <v>0</v>
      </c>
      <c r="DF8">
        <v>5</v>
      </c>
      <c r="DG8">
        <v>1</v>
      </c>
      <c r="DH8">
        <v>20</v>
      </c>
      <c r="DI8">
        <v>86</v>
      </c>
      <c r="DJ8">
        <v>65</v>
      </c>
      <c r="DK8">
        <v>75.58</v>
      </c>
      <c r="DL8">
        <v>25</v>
      </c>
      <c r="DM8">
        <v>12</v>
      </c>
      <c r="DN8">
        <v>48</v>
      </c>
      <c r="DO8">
        <v>3</v>
      </c>
      <c r="DP8">
        <v>0</v>
      </c>
      <c r="DQ8">
        <v>0</v>
      </c>
      <c r="DR8">
        <v>67</v>
      </c>
      <c r="DS8">
        <v>17</v>
      </c>
      <c r="DT8">
        <v>10</v>
      </c>
      <c r="DU8">
        <v>2</v>
      </c>
      <c r="DV8">
        <v>0</v>
      </c>
      <c r="DW8">
        <v>160</v>
      </c>
      <c r="DX8">
        <v>106</v>
      </c>
      <c r="DY8">
        <v>66.25</v>
      </c>
      <c r="DZ8">
        <v>67</v>
      </c>
      <c r="EA8">
        <v>37</v>
      </c>
      <c r="EB8">
        <v>55.22</v>
      </c>
      <c r="EC8">
        <v>60</v>
      </c>
      <c r="ED8">
        <v>36</v>
      </c>
      <c r="EE8">
        <v>60</v>
      </c>
      <c r="EF8">
        <v>82</v>
      </c>
      <c r="EG8">
        <v>49</v>
      </c>
      <c r="EH8">
        <v>59.76</v>
      </c>
      <c r="EI8">
        <v>34</v>
      </c>
      <c r="EJ8">
        <v>29</v>
      </c>
      <c r="EK8">
        <v>85.29</v>
      </c>
      <c r="EL8">
        <v>4.92</v>
      </c>
    </row>
    <row r="9" spans="1:142" ht="12" customHeight="1" x14ac:dyDescent="0.15">
      <c r="A9" s="21"/>
      <c r="B9" s="21"/>
      <c r="C9" s="21"/>
      <c r="D9" s="21"/>
      <c r="BN9" s="21" t="s">
        <v>52</v>
      </c>
      <c r="BO9" s="21" t="s">
        <v>53</v>
      </c>
      <c r="BP9" s="21" t="s">
        <v>48</v>
      </c>
      <c r="BQ9" s="21">
        <v>95</v>
      </c>
      <c r="BR9" t="s">
        <v>55</v>
      </c>
      <c r="BS9" t="s">
        <v>56</v>
      </c>
      <c r="BT9">
        <v>0</v>
      </c>
      <c r="BU9">
        <v>0.13</v>
      </c>
      <c r="BV9">
        <v>5</v>
      </c>
      <c r="BW9">
        <v>1</v>
      </c>
      <c r="BX9">
        <v>20</v>
      </c>
      <c r="BY9">
        <v>44.1</v>
      </c>
      <c r="BZ9">
        <v>164</v>
      </c>
      <c r="CA9">
        <v>39</v>
      </c>
      <c r="CB9">
        <v>58</v>
      </c>
      <c r="CC9">
        <v>67</v>
      </c>
      <c r="CD9">
        <v>89</v>
      </c>
      <c r="CE9">
        <v>41</v>
      </c>
      <c r="CF9">
        <v>36</v>
      </c>
      <c r="CG9">
        <v>12</v>
      </c>
      <c r="CH9">
        <v>242</v>
      </c>
      <c r="CI9">
        <v>107</v>
      </c>
      <c r="CJ9">
        <v>44.21</v>
      </c>
      <c r="CK9">
        <v>4</v>
      </c>
      <c r="CL9">
        <v>1</v>
      </c>
      <c r="CM9">
        <v>25</v>
      </c>
      <c r="CN9">
        <v>29</v>
      </c>
      <c r="CO9">
        <v>4</v>
      </c>
      <c r="CP9">
        <v>13.79</v>
      </c>
      <c r="CQ9">
        <v>24</v>
      </c>
      <c r="CR9">
        <v>1</v>
      </c>
      <c r="CS9">
        <v>4.17</v>
      </c>
      <c r="CT9">
        <v>5</v>
      </c>
      <c r="CU9">
        <v>1</v>
      </c>
      <c r="CV9">
        <v>20</v>
      </c>
      <c r="CW9">
        <v>8</v>
      </c>
      <c r="CX9">
        <v>1</v>
      </c>
      <c r="CY9">
        <v>12.5</v>
      </c>
      <c r="CZ9">
        <v>3</v>
      </c>
      <c r="DA9">
        <v>7</v>
      </c>
      <c r="DB9">
        <v>86</v>
      </c>
      <c r="DC9">
        <v>21</v>
      </c>
      <c r="DD9">
        <v>24.42</v>
      </c>
      <c r="DE9">
        <v>5</v>
      </c>
      <c r="DF9">
        <v>16</v>
      </c>
      <c r="DG9">
        <v>14</v>
      </c>
      <c r="DH9">
        <v>87.5</v>
      </c>
      <c r="DI9">
        <v>99</v>
      </c>
      <c r="DJ9">
        <v>62</v>
      </c>
      <c r="DK9">
        <v>62.63</v>
      </c>
      <c r="DL9">
        <v>25</v>
      </c>
      <c r="DM9">
        <v>9</v>
      </c>
      <c r="DN9">
        <v>36</v>
      </c>
      <c r="DO9">
        <v>3</v>
      </c>
      <c r="DP9">
        <v>2</v>
      </c>
      <c r="DQ9">
        <v>66.67</v>
      </c>
      <c r="DR9">
        <v>36</v>
      </c>
      <c r="DS9">
        <v>20</v>
      </c>
      <c r="DT9">
        <v>8</v>
      </c>
      <c r="DU9">
        <v>2</v>
      </c>
      <c r="DV9">
        <v>0</v>
      </c>
      <c r="DW9">
        <v>144</v>
      </c>
      <c r="DX9">
        <v>73</v>
      </c>
      <c r="DY9">
        <v>50.69</v>
      </c>
      <c r="DZ9">
        <v>79</v>
      </c>
      <c r="EA9">
        <v>37</v>
      </c>
      <c r="EB9">
        <v>46.84</v>
      </c>
      <c r="EC9">
        <v>42</v>
      </c>
      <c r="ED9">
        <v>23</v>
      </c>
      <c r="EE9">
        <v>54.76</v>
      </c>
      <c r="EF9">
        <v>81</v>
      </c>
      <c r="EG9">
        <v>36</v>
      </c>
      <c r="EH9">
        <v>44.44</v>
      </c>
      <c r="EI9">
        <v>35</v>
      </c>
      <c r="EJ9">
        <v>24</v>
      </c>
      <c r="EK9">
        <v>68.569999999999993</v>
      </c>
      <c r="EL9">
        <v>8.9600000000000009</v>
      </c>
    </row>
    <row r="10" spans="1:142" ht="12" customHeight="1" x14ac:dyDescent="0.15">
      <c r="A10" s="21"/>
      <c r="B10" s="21"/>
      <c r="C10" s="21"/>
      <c r="D10" s="21"/>
      <c r="BN10" s="21" t="s">
        <v>57</v>
      </c>
      <c r="BO10" s="21" t="s">
        <v>58</v>
      </c>
      <c r="BP10" s="21" t="s">
        <v>48</v>
      </c>
      <c r="BQ10" s="21">
        <v>93</v>
      </c>
      <c r="BR10" t="s">
        <v>44</v>
      </c>
      <c r="BS10" t="s">
        <v>59</v>
      </c>
      <c r="BT10">
        <v>1</v>
      </c>
      <c r="BU10">
        <v>1</v>
      </c>
      <c r="BV10">
        <v>12</v>
      </c>
      <c r="BW10">
        <v>6</v>
      </c>
      <c r="BX10">
        <v>50</v>
      </c>
      <c r="BY10">
        <v>64.13</v>
      </c>
      <c r="BZ10">
        <v>176</v>
      </c>
      <c r="CA10">
        <v>25</v>
      </c>
      <c r="CB10">
        <v>63</v>
      </c>
      <c r="CC10">
        <v>88</v>
      </c>
      <c r="CD10">
        <v>121</v>
      </c>
      <c r="CE10">
        <v>32</v>
      </c>
      <c r="CF10">
        <v>63</v>
      </c>
      <c r="CG10">
        <v>26</v>
      </c>
      <c r="CH10">
        <v>221</v>
      </c>
      <c r="CI10">
        <v>124</v>
      </c>
      <c r="CJ10">
        <v>56.11</v>
      </c>
      <c r="CK10">
        <v>7</v>
      </c>
      <c r="CL10">
        <v>4</v>
      </c>
      <c r="CM10">
        <v>57.14</v>
      </c>
      <c r="CN10">
        <v>41</v>
      </c>
      <c r="CO10">
        <v>8</v>
      </c>
      <c r="CP10">
        <v>19.510000000000002</v>
      </c>
      <c r="CQ10">
        <v>15</v>
      </c>
      <c r="CR10">
        <v>3</v>
      </c>
      <c r="CS10">
        <v>20</v>
      </c>
      <c r="CT10">
        <v>9</v>
      </c>
      <c r="CU10">
        <v>2</v>
      </c>
      <c r="CV10">
        <v>22.22</v>
      </c>
      <c r="CW10">
        <v>10</v>
      </c>
      <c r="CX10">
        <v>1</v>
      </c>
      <c r="CY10">
        <v>10</v>
      </c>
      <c r="CZ10">
        <v>6</v>
      </c>
      <c r="DA10">
        <v>12</v>
      </c>
      <c r="DB10">
        <v>82</v>
      </c>
      <c r="DC10">
        <v>25</v>
      </c>
      <c r="DD10">
        <v>30.49</v>
      </c>
      <c r="DE10">
        <v>0</v>
      </c>
      <c r="DF10">
        <v>8</v>
      </c>
      <c r="DG10">
        <v>6</v>
      </c>
      <c r="DH10">
        <v>75</v>
      </c>
      <c r="DI10">
        <v>110</v>
      </c>
      <c r="DJ10">
        <v>85</v>
      </c>
      <c r="DK10">
        <v>77.27</v>
      </c>
      <c r="DL10">
        <v>19</v>
      </c>
      <c r="DM10">
        <v>9</v>
      </c>
      <c r="DN10">
        <v>47.37</v>
      </c>
      <c r="DO10">
        <v>3</v>
      </c>
      <c r="DP10">
        <v>1</v>
      </c>
      <c r="DQ10">
        <v>33.33</v>
      </c>
      <c r="DR10">
        <v>62</v>
      </c>
      <c r="DS10">
        <v>14</v>
      </c>
      <c r="DT10">
        <v>7</v>
      </c>
      <c r="DU10">
        <v>0</v>
      </c>
      <c r="DV10">
        <v>0</v>
      </c>
      <c r="DW10">
        <v>200</v>
      </c>
      <c r="DX10">
        <v>123</v>
      </c>
      <c r="DY10">
        <v>61.5</v>
      </c>
      <c r="DZ10">
        <v>59</v>
      </c>
      <c r="EA10">
        <v>23</v>
      </c>
      <c r="EB10">
        <v>38.979999999999997</v>
      </c>
      <c r="EC10">
        <v>73</v>
      </c>
      <c r="ED10">
        <v>38</v>
      </c>
      <c r="EE10">
        <v>52.05</v>
      </c>
      <c r="EF10">
        <v>79</v>
      </c>
      <c r="EG10">
        <v>47</v>
      </c>
      <c r="EH10">
        <v>59.49</v>
      </c>
      <c r="EI10">
        <v>44</v>
      </c>
      <c r="EJ10">
        <v>29</v>
      </c>
      <c r="EK10">
        <v>65.91</v>
      </c>
      <c r="EL10">
        <v>3.74</v>
      </c>
    </row>
    <row r="11" spans="1:142" ht="12" customHeight="1" x14ac:dyDescent="0.15">
      <c r="A11" s="21"/>
      <c r="B11" s="21"/>
      <c r="C11" s="21"/>
      <c r="D11" s="21"/>
      <c r="BN11" s="21" t="s">
        <v>57</v>
      </c>
      <c r="BO11" s="21" t="s">
        <v>58</v>
      </c>
      <c r="BP11" s="21" t="s">
        <v>48</v>
      </c>
      <c r="BQ11" s="21">
        <v>93</v>
      </c>
      <c r="BR11" t="s">
        <v>60</v>
      </c>
      <c r="BS11" t="s">
        <v>49</v>
      </c>
      <c r="BT11">
        <v>0</v>
      </c>
      <c r="BU11">
        <v>0.38</v>
      </c>
      <c r="BV11">
        <v>8</v>
      </c>
      <c r="BW11">
        <v>4</v>
      </c>
      <c r="BX11">
        <v>50</v>
      </c>
      <c r="BY11">
        <v>35.869999999999997</v>
      </c>
      <c r="BZ11">
        <v>183</v>
      </c>
      <c r="CA11">
        <v>34</v>
      </c>
      <c r="CB11">
        <v>95</v>
      </c>
      <c r="CC11">
        <v>54</v>
      </c>
      <c r="CD11">
        <v>102</v>
      </c>
      <c r="CE11">
        <v>50</v>
      </c>
      <c r="CF11">
        <v>40</v>
      </c>
      <c r="CG11">
        <v>12</v>
      </c>
      <c r="CH11">
        <v>221</v>
      </c>
      <c r="CI11">
        <v>93</v>
      </c>
      <c r="CJ11">
        <v>42.08</v>
      </c>
      <c r="CK11">
        <v>5</v>
      </c>
      <c r="CL11">
        <v>2</v>
      </c>
      <c r="CM11">
        <v>40</v>
      </c>
      <c r="CN11">
        <v>23</v>
      </c>
      <c r="CO11">
        <v>6</v>
      </c>
      <c r="CP11">
        <v>26.09</v>
      </c>
      <c r="CQ11">
        <v>22</v>
      </c>
      <c r="CR11">
        <v>1</v>
      </c>
      <c r="CS11">
        <v>4.55</v>
      </c>
      <c r="CT11">
        <v>3</v>
      </c>
      <c r="CU11">
        <v>0</v>
      </c>
      <c r="CV11">
        <v>0</v>
      </c>
      <c r="CW11">
        <v>6</v>
      </c>
      <c r="CX11">
        <v>1</v>
      </c>
      <c r="CY11">
        <v>16.670000000000002</v>
      </c>
      <c r="CZ11">
        <v>1</v>
      </c>
      <c r="DA11">
        <v>7</v>
      </c>
      <c r="DB11">
        <v>110</v>
      </c>
      <c r="DC11">
        <v>25</v>
      </c>
      <c r="DD11">
        <v>22.73</v>
      </c>
      <c r="DE11">
        <v>1</v>
      </c>
      <c r="DF11">
        <v>12</v>
      </c>
      <c r="DG11">
        <v>6</v>
      </c>
      <c r="DH11">
        <v>50</v>
      </c>
      <c r="DI11">
        <v>82</v>
      </c>
      <c r="DJ11">
        <v>57</v>
      </c>
      <c r="DK11">
        <v>69.510000000000005</v>
      </c>
      <c r="DL11">
        <v>19</v>
      </c>
      <c r="DM11">
        <v>8</v>
      </c>
      <c r="DN11">
        <v>42.11</v>
      </c>
      <c r="DO11">
        <v>0</v>
      </c>
      <c r="DP11">
        <v>0</v>
      </c>
      <c r="DQ11">
        <v>0</v>
      </c>
      <c r="DR11">
        <v>62</v>
      </c>
      <c r="DS11">
        <v>16</v>
      </c>
      <c r="DT11">
        <v>3</v>
      </c>
      <c r="DU11">
        <v>0</v>
      </c>
      <c r="DV11">
        <v>0</v>
      </c>
      <c r="DW11">
        <v>133</v>
      </c>
      <c r="DX11">
        <v>60</v>
      </c>
      <c r="DY11">
        <v>45.11</v>
      </c>
      <c r="DZ11">
        <v>49</v>
      </c>
      <c r="EA11">
        <v>16</v>
      </c>
      <c r="EB11">
        <v>32.65</v>
      </c>
      <c r="EC11">
        <v>37</v>
      </c>
      <c r="ED11">
        <v>16</v>
      </c>
      <c r="EE11">
        <v>43.24</v>
      </c>
      <c r="EF11">
        <v>74</v>
      </c>
      <c r="EG11">
        <v>21</v>
      </c>
      <c r="EH11">
        <v>28.38</v>
      </c>
      <c r="EI11">
        <v>51</v>
      </c>
      <c r="EJ11">
        <v>30</v>
      </c>
      <c r="EK11">
        <v>58.82</v>
      </c>
      <c r="EL11">
        <v>18.32</v>
      </c>
    </row>
    <row r="12" spans="1:142" ht="12" customHeight="1" x14ac:dyDescent="0.15">
      <c r="A12" s="21"/>
      <c r="B12" s="21"/>
      <c r="C12" s="21"/>
      <c r="D12" s="21"/>
      <c r="BN12" s="21" t="s">
        <v>61</v>
      </c>
      <c r="BO12" s="21" t="s">
        <v>62</v>
      </c>
      <c r="BP12" s="21" t="s">
        <v>48</v>
      </c>
      <c r="BQ12" s="21">
        <v>96</v>
      </c>
      <c r="BR12" t="s">
        <v>44</v>
      </c>
      <c r="BS12" t="s">
        <v>59</v>
      </c>
      <c r="BT12">
        <v>1</v>
      </c>
      <c r="BU12">
        <v>1.38</v>
      </c>
      <c r="BV12">
        <v>11</v>
      </c>
      <c r="BW12">
        <v>6</v>
      </c>
      <c r="BX12">
        <v>54.55</v>
      </c>
      <c r="BY12">
        <v>45.86</v>
      </c>
      <c r="BZ12">
        <v>155</v>
      </c>
      <c r="CA12">
        <v>19</v>
      </c>
      <c r="CB12">
        <v>60</v>
      </c>
      <c r="CC12">
        <v>76</v>
      </c>
      <c r="CD12">
        <v>120</v>
      </c>
      <c r="CE12">
        <v>47</v>
      </c>
      <c r="CF12">
        <v>63</v>
      </c>
      <c r="CG12">
        <v>10</v>
      </c>
      <c r="CH12">
        <v>259</v>
      </c>
      <c r="CI12">
        <v>141</v>
      </c>
      <c r="CJ12">
        <v>54.44</v>
      </c>
      <c r="CK12">
        <v>4</v>
      </c>
      <c r="CL12">
        <v>2</v>
      </c>
      <c r="CM12">
        <v>50</v>
      </c>
      <c r="CN12">
        <v>27</v>
      </c>
      <c r="CO12">
        <v>7</v>
      </c>
      <c r="CP12">
        <v>25.93</v>
      </c>
      <c r="CQ12">
        <v>19</v>
      </c>
      <c r="CR12">
        <v>3</v>
      </c>
      <c r="CS12">
        <v>15.79</v>
      </c>
      <c r="CT12">
        <v>6</v>
      </c>
      <c r="CU12">
        <v>1</v>
      </c>
      <c r="CV12">
        <v>16.670000000000002</v>
      </c>
      <c r="CW12">
        <v>15</v>
      </c>
      <c r="CX12">
        <v>5</v>
      </c>
      <c r="CY12">
        <v>33.33</v>
      </c>
      <c r="CZ12">
        <v>5</v>
      </c>
      <c r="DA12">
        <v>18</v>
      </c>
      <c r="DB12">
        <v>76</v>
      </c>
      <c r="DC12">
        <v>18</v>
      </c>
      <c r="DD12">
        <v>23.68</v>
      </c>
      <c r="DE12">
        <v>1</v>
      </c>
      <c r="DF12">
        <v>6</v>
      </c>
      <c r="DG12">
        <v>1</v>
      </c>
      <c r="DH12">
        <v>16.670000000000002</v>
      </c>
      <c r="DI12">
        <v>129</v>
      </c>
      <c r="DJ12">
        <v>102</v>
      </c>
      <c r="DK12">
        <v>79.069999999999993</v>
      </c>
      <c r="DL12">
        <v>33</v>
      </c>
      <c r="DM12">
        <v>11</v>
      </c>
      <c r="DN12">
        <v>33.33</v>
      </c>
      <c r="DO12">
        <v>1</v>
      </c>
      <c r="DP12">
        <v>1</v>
      </c>
      <c r="DQ12">
        <v>100</v>
      </c>
      <c r="DR12">
        <v>51</v>
      </c>
      <c r="DS12">
        <v>32</v>
      </c>
      <c r="DT12">
        <v>8</v>
      </c>
      <c r="DU12">
        <v>1</v>
      </c>
      <c r="DV12">
        <v>0</v>
      </c>
      <c r="DW12">
        <v>161</v>
      </c>
      <c r="DX12">
        <v>105</v>
      </c>
      <c r="DY12">
        <v>65.22</v>
      </c>
      <c r="DZ12">
        <v>65</v>
      </c>
      <c r="EA12">
        <v>27</v>
      </c>
      <c r="EB12">
        <v>41.54</v>
      </c>
      <c r="EC12">
        <v>61</v>
      </c>
      <c r="ED12">
        <v>32</v>
      </c>
      <c r="EE12">
        <v>52.46</v>
      </c>
      <c r="EF12">
        <v>81</v>
      </c>
      <c r="EG12">
        <v>53</v>
      </c>
      <c r="EH12">
        <v>65.430000000000007</v>
      </c>
      <c r="EI12">
        <v>26</v>
      </c>
      <c r="EJ12">
        <v>17</v>
      </c>
      <c r="EK12">
        <v>65.38</v>
      </c>
      <c r="EL12">
        <v>7.16</v>
      </c>
    </row>
    <row r="13" spans="1:142" ht="12" customHeight="1" x14ac:dyDescent="0.15">
      <c r="A13" s="21"/>
      <c r="B13" s="21"/>
      <c r="C13" s="21"/>
      <c r="D13" s="21"/>
      <c r="BN13" s="21" t="s">
        <v>61</v>
      </c>
      <c r="BO13" s="21" t="s">
        <v>62</v>
      </c>
      <c r="BP13" s="21" t="s">
        <v>48</v>
      </c>
      <c r="BQ13" s="21">
        <v>96</v>
      </c>
      <c r="BR13" t="s">
        <v>63</v>
      </c>
      <c r="BS13" t="s">
        <v>49</v>
      </c>
      <c r="BT13">
        <v>1</v>
      </c>
      <c r="BU13">
        <v>0.6</v>
      </c>
      <c r="BV13">
        <v>6</v>
      </c>
      <c r="BW13">
        <v>1</v>
      </c>
      <c r="BX13">
        <v>16.670000000000002</v>
      </c>
      <c r="BY13">
        <v>54.14</v>
      </c>
      <c r="BZ13">
        <v>157</v>
      </c>
      <c r="CA13">
        <v>21</v>
      </c>
      <c r="CB13">
        <v>68</v>
      </c>
      <c r="CC13">
        <v>68</v>
      </c>
      <c r="CD13">
        <v>105</v>
      </c>
      <c r="CE13">
        <v>44</v>
      </c>
      <c r="CF13">
        <v>46</v>
      </c>
      <c r="CG13">
        <v>15</v>
      </c>
      <c r="CH13">
        <v>259</v>
      </c>
      <c r="CI13">
        <v>116</v>
      </c>
      <c r="CJ13">
        <v>44.79</v>
      </c>
      <c r="CK13">
        <v>3</v>
      </c>
      <c r="CL13">
        <v>0</v>
      </c>
      <c r="CM13">
        <v>0</v>
      </c>
      <c r="CN13">
        <v>30</v>
      </c>
      <c r="CO13">
        <v>3</v>
      </c>
      <c r="CP13">
        <v>10</v>
      </c>
      <c r="CQ13">
        <v>21</v>
      </c>
      <c r="CR13">
        <v>2</v>
      </c>
      <c r="CS13">
        <v>9.52</v>
      </c>
      <c r="CT13">
        <v>5</v>
      </c>
      <c r="CU13">
        <v>1</v>
      </c>
      <c r="CV13">
        <v>20</v>
      </c>
      <c r="CW13">
        <v>10</v>
      </c>
      <c r="CX13">
        <v>2</v>
      </c>
      <c r="CY13">
        <v>20</v>
      </c>
      <c r="CZ13">
        <v>5</v>
      </c>
      <c r="DA13">
        <v>7</v>
      </c>
      <c r="DB13">
        <v>129</v>
      </c>
      <c r="DC13">
        <v>27</v>
      </c>
      <c r="DD13">
        <v>20.93</v>
      </c>
      <c r="DE13">
        <v>1</v>
      </c>
      <c r="DF13">
        <v>11</v>
      </c>
      <c r="DG13">
        <v>6</v>
      </c>
      <c r="DH13">
        <v>54.55</v>
      </c>
      <c r="DI13">
        <v>76</v>
      </c>
      <c r="DJ13">
        <v>58</v>
      </c>
      <c r="DK13">
        <v>76.319999999999993</v>
      </c>
      <c r="DL13">
        <v>33</v>
      </c>
      <c r="DM13">
        <v>21</v>
      </c>
      <c r="DN13">
        <v>63.64</v>
      </c>
      <c r="DO13">
        <v>7</v>
      </c>
      <c r="DP13">
        <v>5</v>
      </c>
      <c r="DQ13">
        <v>71.430000000000007</v>
      </c>
      <c r="DR13">
        <v>48</v>
      </c>
      <c r="DS13">
        <v>23</v>
      </c>
      <c r="DT13">
        <v>5</v>
      </c>
      <c r="DU13">
        <v>1</v>
      </c>
      <c r="DV13">
        <v>0</v>
      </c>
      <c r="DW13">
        <v>155</v>
      </c>
      <c r="DX13">
        <v>97</v>
      </c>
      <c r="DY13">
        <v>62.58</v>
      </c>
      <c r="DZ13">
        <v>51</v>
      </c>
      <c r="EA13">
        <v>20</v>
      </c>
      <c r="EB13">
        <v>39.22</v>
      </c>
      <c r="EC13">
        <v>58</v>
      </c>
      <c r="ED13">
        <v>31</v>
      </c>
      <c r="EE13">
        <v>53.45</v>
      </c>
      <c r="EF13">
        <v>81</v>
      </c>
      <c r="EG13">
        <v>50</v>
      </c>
      <c r="EH13">
        <v>61.73</v>
      </c>
      <c r="EI13">
        <v>35</v>
      </c>
      <c r="EJ13">
        <v>29</v>
      </c>
      <c r="EK13">
        <v>82.86</v>
      </c>
      <c r="EL13">
        <v>7.69</v>
      </c>
    </row>
    <row r="14" spans="1:142" ht="12" customHeight="1" x14ac:dyDescent="0.15">
      <c r="A14" s="21"/>
      <c r="B14" s="21"/>
      <c r="C14" s="21"/>
      <c r="D14" s="21"/>
      <c r="BN14" s="21" t="s">
        <v>64</v>
      </c>
      <c r="BO14" s="21" t="s">
        <v>65</v>
      </c>
      <c r="BP14" s="21" t="s">
        <v>48</v>
      </c>
      <c r="BQ14" s="21">
        <v>93</v>
      </c>
      <c r="BR14" t="s">
        <v>44</v>
      </c>
      <c r="BS14" t="s">
        <v>56</v>
      </c>
      <c r="BT14">
        <v>3</v>
      </c>
      <c r="BU14">
        <v>1.68</v>
      </c>
      <c r="BV14">
        <v>17</v>
      </c>
      <c r="BW14">
        <v>8</v>
      </c>
      <c r="BX14">
        <v>47.06</v>
      </c>
      <c r="BY14">
        <v>52</v>
      </c>
      <c r="BZ14">
        <v>113</v>
      </c>
      <c r="CA14">
        <v>10</v>
      </c>
      <c r="CB14">
        <v>41</v>
      </c>
      <c r="CC14">
        <v>62</v>
      </c>
      <c r="CD14">
        <v>92</v>
      </c>
      <c r="CE14">
        <v>29</v>
      </c>
      <c r="CF14">
        <v>39</v>
      </c>
      <c r="CG14">
        <v>24</v>
      </c>
      <c r="CH14">
        <v>203</v>
      </c>
      <c r="CI14">
        <v>106</v>
      </c>
      <c r="CJ14">
        <v>52.22</v>
      </c>
      <c r="CK14">
        <v>7</v>
      </c>
      <c r="CL14">
        <v>3</v>
      </c>
      <c r="CM14">
        <v>42.86</v>
      </c>
      <c r="CN14">
        <v>50</v>
      </c>
      <c r="CO14">
        <v>13</v>
      </c>
      <c r="CP14">
        <v>26</v>
      </c>
      <c r="CQ14">
        <v>20</v>
      </c>
      <c r="CR14">
        <v>4</v>
      </c>
      <c r="CS14">
        <v>20</v>
      </c>
      <c r="CT14">
        <v>11</v>
      </c>
      <c r="CU14">
        <v>3</v>
      </c>
      <c r="CV14">
        <v>27.27</v>
      </c>
      <c r="CW14">
        <v>29</v>
      </c>
      <c r="CX14">
        <v>9</v>
      </c>
      <c r="CY14">
        <v>31.03</v>
      </c>
      <c r="CZ14">
        <v>6</v>
      </c>
      <c r="DA14">
        <v>28</v>
      </c>
      <c r="DB14">
        <v>73</v>
      </c>
      <c r="DC14">
        <v>27</v>
      </c>
      <c r="DD14">
        <v>36.99</v>
      </c>
      <c r="DE14">
        <v>1</v>
      </c>
      <c r="DF14">
        <v>4</v>
      </c>
      <c r="DG14">
        <v>4</v>
      </c>
      <c r="DH14">
        <v>100</v>
      </c>
      <c r="DI14">
        <v>80</v>
      </c>
      <c r="DJ14">
        <v>58</v>
      </c>
      <c r="DK14">
        <v>72.5</v>
      </c>
      <c r="DL14">
        <v>19</v>
      </c>
      <c r="DM14">
        <v>10</v>
      </c>
      <c r="DN14">
        <v>52.63</v>
      </c>
      <c r="DO14">
        <v>1</v>
      </c>
      <c r="DP14">
        <v>0</v>
      </c>
      <c r="DQ14">
        <v>0</v>
      </c>
      <c r="DR14">
        <v>30</v>
      </c>
      <c r="DS14">
        <v>16</v>
      </c>
      <c r="DT14">
        <v>6</v>
      </c>
      <c r="DU14">
        <v>0</v>
      </c>
      <c r="DV14">
        <v>0</v>
      </c>
      <c r="DW14">
        <v>149</v>
      </c>
      <c r="DX14">
        <v>88</v>
      </c>
      <c r="DY14">
        <v>59.06</v>
      </c>
      <c r="DZ14">
        <v>53</v>
      </c>
      <c r="EA14">
        <v>23</v>
      </c>
      <c r="EB14">
        <v>43.4</v>
      </c>
      <c r="EC14">
        <v>56</v>
      </c>
      <c r="ED14">
        <v>29</v>
      </c>
      <c r="EE14">
        <v>51.79</v>
      </c>
      <c r="EF14">
        <v>84</v>
      </c>
      <c r="EG14">
        <v>51</v>
      </c>
      <c r="EH14">
        <v>60.71</v>
      </c>
      <c r="EI14">
        <v>41</v>
      </c>
      <c r="EJ14">
        <v>36</v>
      </c>
      <c r="EK14">
        <v>87.8</v>
      </c>
      <c r="EL14">
        <v>6.2</v>
      </c>
    </row>
    <row r="15" spans="1:142" ht="12" customHeight="1" x14ac:dyDescent="0.15">
      <c r="A15" s="21"/>
      <c r="B15" s="21"/>
      <c r="C15" s="21"/>
      <c r="D15" s="21"/>
      <c r="BN15" s="21" t="s">
        <v>64</v>
      </c>
      <c r="BO15" s="21" t="s">
        <v>65</v>
      </c>
      <c r="BP15" s="21" t="s">
        <v>48</v>
      </c>
      <c r="BQ15" s="21">
        <v>93</v>
      </c>
      <c r="BR15" t="s">
        <v>66</v>
      </c>
      <c r="BS15" t="s">
        <v>54</v>
      </c>
      <c r="BT15">
        <v>1</v>
      </c>
      <c r="BU15">
        <v>0.23</v>
      </c>
      <c r="BV15">
        <v>4</v>
      </c>
      <c r="BW15">
        <v>4</v>
      </c>
      <c r="BX15">
        <v>100</v>
      </c>
      <c r="BY15">
        <v>48</v>
      </c>
      <c r="BZ15">
        <v>150</v>
      </c>
      <c r="CA15">
        <v>33</v>
      </c>
      <c r="CB15">
        <v>67</v>
      </c>
      <c r="CC15">
        <v>50</v>
      </c>
      <c r="CD15">
        <v>75</v>
      </c>
      <c r="CE15">
        <v>40</v>
      </c>
      <c r="CF15">
        <v>31</v>
      </c>
      <c r="CG15">
        <v>4</v>
      </c>
      <c r="CH15">
        <v>203</v>
      </c>
      <c r="CI15">
        <v>93</v>
      </c>
      <c r="CJ15">
        <v>45.81</v>
      </c>
      <c r="CK15">
        <v>3</v>
      </c>
      <c r="CL15">
        <v>3</v>
      </c>
      <c r="CM15">
        <v>100</v>
      </c>
      <c r="CN15">
        <v>19</v>
      </c>
      <c r="CO15">
        <v>1</v>
      </c>
      <c r="CP15">
        <v>5.26</v>
      </c>
      <c r="CQ15">
        <v>32</v>
      </c>
      <c r="CR15">
        <v>2</v>
      </c>
      <c r="CS15">
        <v>6.25</v>
      </c>
      <c r="CT15">
        <v>3</v>
      </c>
      <c r="CU15">
        <v>0</v>
      </c>
      <c r="CV15">
        <v>0</v>
      </c>
      <c r="CW15">
        <v>10</v>
      </c>
      <c r="CX15">
        <v>1</v>
      </c>
      <c r="CY15">
        <v>10</v>
      </c>
      <c r="CZ15">
        <v>0</v>
      </c>
      <c r="DA15">
        <v>3</v>
      </c>
      <c r="DB15">
        <v>80</v>
      </c>
      <c r="DC15">
        <v>22</v>
      </c>
      <c r="DD15">
        <v>27.5</v>
      </c>
      <c r="DE15">
        <v>3</v>
      </c>
      <c r="DF15">
        <v>17</v>
      </c>
      <c r="DG15">
        <v>8</v>
      </c>
      <c r="DH15">
        <v>47.06</v>
      </c>
      <c r="DI15">
        <v>73</v>
      </c>
      <c r="DJ15">
        <v>46</v>
      </c>
      <c r="DK15">
        <v>63.01</v>
      </c>
      <c r="DL15">
        <v>19</v>
      </c>
      <c r="DM15">
        <v>9</v>
      </c>
      <c r="DN15">
        <v>47.37</v>
      </c>
      <c r="DO15">
        <v>4</v>
      </c>
      <c r="DP15">
        <v>2</v>
      </c>
      <c r="DQ15">
        <v>50</v>
      </c>
      <c r="DR15">
        <v>60</v>
      </c>
      <c r="DS15">
        <v>22</v>
      </c>
      <c r="DT15">
        <v>5</v>
      </c>
      <c r="DU15">
        <v>0</v>
      </c>
      <c r="DV15">
        <v>0</v>
      </c>
      <c r="DW15">
        <v>116</v>
      </c>
      <c r="DX15">
        <v>65</v>
      </c>
      <c r="DY15">
        <v>56.03</v>
      </c>
      <c r="DZ15">
        <v>57</v>
      </c>
      <c r="EA15">
        <v>23</v>
      </c>
      <c r="EB15">
        <v>40.35</v>
      </c>
      <c r="EC15">
        <v>44</v>
      </c>
      <c r="ED15">
        <v>23</v>
      </c>
      <c r="EE15">
        <v>52.27</v>
      </c>
      <c r="EF15">
        <v>68</v>
      </c>
      <c r="EG15">
        <v>34</v>
      </c>
      <c r="EH15">
        <v>50</v>
      </c>
      <c r="EI15">
        <v>31</v>
      </c>
      <c r="EJ15">
        <v>22</v>
      </c>
      <c r="EK15">
        <v>70.97</v>
      </c>
      <c r="EL15">
        <v>11.41</v>
      </c>
    </row>
    <row r="16" spans="1:142" ht="12" customHeight="1" x14ac:dyDescent="0.15">
      <c r="A16" s="21"/>
      <c r="B16" s="21"/>
      <c r="C16" s="21"/>
      <c r="D16" s="21"/>
      <c r="BN16" s="21" t="s">
        <v>67</v>
      </c>
      <c r="BO16" s="21" t="s">
        <v>68</v>
      </c>
      <c r="BP16" s="21" t="s">
        <v>48</v>
      </c>
      <c r="BQ16" s="21">
        <v>99</v>
      </c>
      <c r="BR16" t="s">
        <v>44</v>
      </c>
      <c r="BS16" t="s">
        <v>59</v>
      </c>
      <c r="BT16">
        <v>0</v>
      </c>
      <c r="BU16">
        <v>1.24</v>
      </c>
      <c r="BV16">
        <v>13</v>
      </c>
      <c r="BW16">
        <v>4</v>
      </c>
      <c r="BX16">
        <v>30.77</v>
      </c>
      <c r="BY16">
        <v>39.92</v>
      </c>
      <c r="BZ16">
        <v>137</v>
      </c>
      <c r="CA16">
        <v>17</v>
      </c>
      <c r="CB16">
        <v>60</v>
      </c>
      <c r="CC16">
        <v>60</v>
      </c>
      <c r="CD16">
        <v>115</v>
      </c>
      <c r="CE16">
        <v>55</v>
      </c>
      <c r="CF16">
        <v>37</v>
      </c>
      <c r="CG16">
        <v>23</v>
      </c>
      <c r="CH16">
        <v>200</v>
      </c>
      <c r="CI16">
        <v>98</v>
      </c>
      <c r="CJ16">
        <v>49</v>
      </c>
      <c r="CK16">
        <v>4</v>
      </c>
      <c r="CL16">
        <v>2</v>
      </c>
      <c r="CM16">
        <v>50</v>
      </c>
      <c r="CN16">
        <v>34</v>
      </c>
      <c r="CO16">
        <v>12</v>
      </c>
      <c r="CP16">
        <v>35.29</v>
      </c>
      <c r="CQ16">
        <v>20</v>
      </c>
      <c r="CR16">
        <v>1</v>
      </c>
      <c r="CS16">
        <v>5</v>
      </c>
      <c r="CT16">
        <v>4</v>
      </c>
      <c r="CU16">
        <v>1</v>
      </c>
      <c r="CV16">
        <v>25</v>
      </c>
      <c r="CW16">
        <v>17</v>
      </c>
      <c r="CX16">
        <v>8</v>
      </c>
      <c r="CY16">
        <v>47.06</v>
      </c>
      <c r="CZ16">
        <v>3</v>
      </c>
      <c r="DA16">
        <v>16</v>
      </c>
      <c r="DB16">
        <v>68</v>
      </c>
      <c r="DC16">
        <v>22</v>
      </c>
      <c r="DD16">
        <v>32.35</v>
      </c>
      <c r="DE16">
        <v>0</v>
      </c>
      <c r="DF16">
        <v>10</v>
      </c>
      <c r="DG16">
        <v>4</v>
      </c>
      <c r="DH16">
        <v>40</v>
      </c>
      <c r="DI16">
        <v>83</v>
      </c>
      <c r="DJ16">
        <v>56</v>
      </c>
      <c r="DK16">
        <v>67.47</v>
      </c>
      <c r="DL16">
        <v>16</v>
      </c>
      <c r="DM16">
        <v>6</v>
      </c>
      <c r="DN16">
        <v>37.5</v>
      </c>
      <c r="DO16">
        <v>0</v>
      </c>
      <c r="DP16">
        <v>0</v>
      </c>
      <c r="DQ16">
        <v>0</v>
      </c>
      <c r="DR16">
        <v>60</v>
      </c>
      <c r="DS16">
        <v>14</v>
      </c>
      <c r="DT16">
        <v>10</v>
      </c>
      <c r="DU16">
        <v>2</v>
      </c>
      <c r="DV16">
        <v>0</v>
      </c>
      <c r="DW16">
        <v>181</v>
      </c>
      <c r="DX16">
        <v>108</v>
      </c>
      <c r="DY16">
        <v>59.67</v>
      </c>
      <c r="DZ16">
        <v>70</v>
      </c>
      <c r="EA16">
        <v>27</v>
      </c>
      <c r="EB16">
        <v>38.57</v>
      </c>
      <c r="EC16">
        <v>49</v>
      </c>
      <c r="ED16">
        <v>25</v>
      </c>
      <c r="EE16">
        <v>51.02</v>
      </c>
      <c r="EF16">
        <v>92</v>
      </c>
      <c r="EG16">
        <v>48</v>
      </c>
      <c r="EH16">
        <v>52.17</v>
      </c>
      <c r="EI16">
        <v>23</v>
      </c>
      <c r="EJ16">
        <v>18</v>
      </c>
      <c r="EK16">
        <v>78.260000000000005</v>
      </c>
      <c r="EL16">
        <v>9.02</v>
      </c>
    </row>
    <row r="17" spans="1:142" ht="12" customHeight="1" x14ac:dyDescent="0.15">
      <c r="A17" s="21"/>
      <c r="B17" s="21"/>
      <c r="C17" s="21"/>
      <c r="D17" s="21"/>
      <c r="BN17" s="21" t="s">
        <v>67</v>
      </c>
      <c r="BO17" s="21" t="s">
        <v>68</v>
      </c>
      <c r="BP17" s="21" t="s">
        <v>48</v>
      </c>
      <c r="BQ17" s="21">
        <v>99</v>
      </c>
      <c r="BR17" t="s">
        <v>69</v>
      </c>
      <c r="BS17" t="s">
        <v>70</v>
      </c>
      <c r="BT17">
        <v>0</v>
      </c>
      <c r="BU17">
        <v>0.73</v>
      </c>
      <c r="BV17">
        <v>10</v>
      </c>
      <c r="BW17">
        <v>4</v>
      </c>
      <c r="BX17">
        <v>40</v>
      </c>
      <c r="BY17">
        <v>60.08</v>
      </c>
      <c r="BZ17">
        <v>162</v>
      </c>
      <c r="CA17">
        <v>31</v>
      </c>
      <c r="CB17">
        <v>52</v>
      </c>
      <c r="CC17">
        <v>79</v>
      </c>
      <c r="CD17">
        <v>104</v>
      </c>
      <c r="CE17">
        <v>41</v>
      </c>
      <c r="CF17">
        <v>53</v>
      </c>
      <c r="CG17">
        <v>10</v>
      </c>
      <c r="CH17">
        <v>200</v>
      </c>
      <c r="CI17">
        <v>99</v>
      </c>
      <c r="CJ17">
        <v>49.5</v>
      </c>
      <c r="CK17">
        <v>5</v>
      </c>
      <c r="CL17">
        <v>1</v>
      </c>
      <c r="CM17">
        <v>20</v>
      </c>
      <c r="CN17">
        <v>41</v>
      </c>
      <c r="CO17">
        <v>6</v>
      </c>
      <c r="CP17">
        <v>14.63</v>
      </c>
      <c r="CQ17">
        <v>25</v>
      </c>
      <c r="CR17">
        <v>4</v>
      </c>
      <c r="CS17">
        <v>16</v>
      </c>
      <c r="CT17">
        <v>4</v>
      </c>
      <c r="CU17">
        <v>1</v>
      </c>
      <c r="CV17">
        <v>25</v>
      </c>
      <c r="CW17">
        <v>20</v>
      </c>
      <c r="CX17">
        <v>4</v>
      </c>
      <c r="CY17">
        <v>20</v>
      </c>
      <c r="CZ17">
        <v>3</v>
      </c>
      <c r="DA17">
        <v>13</v>
      </c>
      <c r="DB17">
        <v>83</v>
      </c>
      <c r="DC17">
        <v>27</v>
      </c>
      <c r="DD17">
        <v>32.53</v>
      </c>
      <c r="DE17">
        <v>0</v>
      </c>
      <c r="DF17">
        <v>13</v>
      </c>
      <c r="DG17">
        <v>4</v>
      </c>
      <c r="DH17">
        <v>30.77</v>
      </c>
      <c r="DI17">
        <v>68</v>
      </c>
      <c r="DJ17">
        <v>46</v>
      </c>
      <c r="DK17">
        <v>67.650000000000006</v>
      </c>
      <c r="DL17">
        <v>16</v>
      </c>
      <c r="DM17">
        <v>9</v>
      </c>
      <c r="DN17">
        <v>56.25</v>
      </c>
      <c r="DO17">
        <v>0</v>
      </c>
      <c r="DP17">
        <v>0</v>
      </c>
      <c r="DQ17">
        <v>0</v>
      </c>
      <c r="DR17">
        <v>33</v>
      </c>
      <c r="DS17">
        <v>11</v>
      </c>
      <c r="DT17">
        <v>6</v>
      </c>
      <c r="DU17">
        <v>1</v>
      </c>
      <c r="DV17">
        <v>0</v>
      </c>
      <c r="DW17">
        <v>184</v>
      </c>
      <c r="DX17">
        <v>107</v>
      </c>
      <c r="DY17">
        <v>58.15</v>
      </c>
      <c r="DZ17">
        <v>53</v>
      </c>
      <c r="EA17">
        <v>19</v>
      </c>
      <c r="EB17">
        <v>35.85</v>
      </c>
      <c r="EC17">
        <v>70</v>
      </c>
      <c r="ED17">
        <v>38</v>
      </c>
      <c r="EE17">
        <v>54.29</v>
      </c>
      <c r="EF17">
        <v>84</v>
      </c>
      <c r="EG17">
        <v>49</v>
      </c>
      <c r="EH17">
        <v>58.33</v>
      </c>
      <c r="EI17">
        <v>35</v>
      </c>
      <c r="EJ17">
        <v>32</v>
      </c>
      <c r="EK17">
        <v>91.43</v>
      </c>
      <c r="EL17">
        <v>12.58</v>
      </c>
    </row>
    <row r="18" spans="1:142" ht="12" customHeight="1" x14ac:dyDescent="0.15">
      <c r="A18" s="21"/>
      <c r="B18" s="21"/>
      <c r="C18" s="21"/>
      <c r="D18" s="21"/>
      <c r="BN18" s="21" t="s">
        <v>71</v>
      </c>
      <c r="BO18" s="21" t="s">
        <v>72</v>
      </c>
      <c r="BP18" s="21" t="s">
        <v>48</v>
      </c>
      <c r="BQ18" s="21">
        <v>95</v>
      </c>
      <c r="BR18" t="s">
        <v>44</v>
      </c>
      <c r="BS18" t="s">
        <v>73</v>
      </c>
      <c r="BT18">
        <v>0</v>
      </c>
      <c r="BU18">
        <v>0.53</v>
      </c>
      <c r="BV18">
        <v>10</v>
      </c>
      <c r="BW18">
        <v>3</v>
      </c>
      <c r="BX18">
        <v>30</v>
      </c>
      <c r="BY18">
        <v>51.92</v>
      </c>
      <c r="BZ18">
        <v>128</v>
      </c>
      <c r="CA18">
        <v>18</v>
      </c>
      <c r="CB18">
        <v>53</v>
      </c>
      <c r="CC18">
        <v>57</v>
      </c>
      <c r="CD18">
        <v>97</v>
      </c>
      <c r="CE18">
        <v>54</v>
      </c>
      <c r="CF18">
        <v>32</v>
      </c>
      <c r="CG18">
        <v>11</v>
      </c>
      <c r="CH18">
        <v>173</v>
      </c>
      <c r="CI18">
        <v>87</v>
      </c>
      <c r="CJ18">
        <v>50.29</v>
      </c>
      <c r="CK18">
        <v>5</v>
      </c>
      <c r="CL18">
        <v>2</v>
      </c>
      <c r="CM18">
        <v>40</v>
      </c>
      <c r="CN18">
        <v>31</v>
      </c>
      <c r="CO18">
        <v>9</v>
      </c>
      <c r="CP18">
        <v>29.03</v>
      </c>
      <c r="CQ18">
        <v>15</v>
      </c>
      <c r="CR18">
        <v>0</v>
      </c>
      <c r="CS18">
        <v>0</v>
      </c>
      <c r="CT18">
        <v>3</v>
      </c>
      <c r="CU18">
        <v>0</v>
      </c>
      <c r="CV18">
        <v>0</v>
      </c>
      <c r="CW18">
        <v>13</v>
      </c>
      <c r="CX18">
        <v>4</v>
      </c>
      <c r="CY18">
        <v>30.77</v>
      </c>
      <c r="CZ18">
        <v>5</v>
      </c>
      <c r="DA18">
        <v>14</v>
      </c>
      <c r="DB18">
        <v>57</v>
      </c>
      <c r="DC18">
        <v>20</v>
      </c>
      <c r="DD18">
        <v>35.090000000000003</v>
      </c>
      <c r="DE18">
        <v>0</v>
      </c>
      <c r="DF18">
        <v>8</v>
      </c>
      <c r="DG18">
        <v>0</v>
      </c>
      <c r="DH18">
        <v>0</v>
      </c>
      <c r="DI18">
        <v>77</v>
      </c>
      <c r="DJ18">
        <v>49</v>
      </c>
      <c r="DK18">
        <v>63.64</v>
      </c>
      <c r="DL18">
        <v>11</v>
      </c>
      <c r="DM18">
        <v>2</v>
      </c>
      <c r="DN18">
        <v>18.18</v>
      </c>
      <c r="DO18">
        <v>3</v>
      </c>
      <c r="DP18">
        <v>3</v>
      </c>
      <c r="DQ18">
        <v>100</v>
      </c>
      <c r="DR18">
        <v>60</v>
      </c>
      <c r="DS18">
        <v>25</v>
      </c>
      <c r="DT18">
        <v>7</v>
      </c>
      <c r="DU18">
        <v>0</v>
      </c>
      <c r="DV18">
        <v>0</v>
      </c>
      <c r="DW18">
        <v>172</v>
      </c>
      <c r="DX18">
        <v>111</v>
      </c>
      <c r="DY18">
        <v>64.53</v>
      </c>
      <c r="DZ18">
        <v>54</v>
      </c>
      <c r="EA18">
        <v>23</v>
      </c>
      <c r="EB18">
        <v>42.59</v>
      </c>
      <c r="EC18">
        <v>61</v>
      </c>
      <c r="ED18">
        <v>29</v>
      </c>
      <c r="EE18">
        <v>47.54</v>
      </c>
      <c r="EF18">
        <v>71</v>
      </c>
      <c r="EG18">
        <v>51</v>
      </c>
      <c r="EH18">
        <v>71.83</v>
      </c>
      <c r="EI18">
        <v>19</v>
      </c>
      <c r="EJ18">
        <v>16</v>
      </c>
      <c r="EK18">
        <v>84.21</v>
      </c>
      <c r="EL18">
        <v>10.93</v>
      </c>
    </row>
    <row r="19" spans="1:142" ht="12" customHeight="1" x14ac:dyDescent="0.15">
      <c r="A19" s="21"/>
      <c r="B19" s="21"/>
      <c r="C19" s="21"/>
      <c r="D19" s="21"/>
      <c r="BN19" s="21" t="s">
        <v>71</v>
      </c>
      <c r="BO19" s="21" t="s">
        <v>72</v>
      </c>
      <c r="BP19" s="21" t="s">
        <v>48</v>
      </c>
      <c r="BQ19" s="21">
        <v>95</v>
      </c>
      <c r="BR19" t="s">
        <v>74</v>
      </c>
      <c r="BS19" t="s">
        <v>54</v>
      </c>
      <c r="BT19">
        <v>0</v>
      </c>
      <c r="BU19">
        <v>0.39</v>
      </c>
      <c r="BV19">
        <v>8</v>
      </c>
      <c r="BW19">
        <v>0</v>
      </c>
      <c r="BX19">
        <v>0</v>
      </c>
      <c r="BY19">
        <v>48.08</v>
      </c>
      <c r="BZ19">
        <v>144</v>
      </c>
      <c r="CA19">
        <v>26</v>
      </c>
      <c r="CB19">
        <v>35</v>
      </c>
      <c r="CC19">
        <v>83</v>
      </c>
      <c r="CD19">
        <v>79</v>
      </c>
      <c r="CE19">
        <v>36</v>
      </c>
      <c r="CF19">
        <v>38</v>
      </c>
      <c r="CG19">
        <v>5</v>
      </c>
      <c r="CH19">
        <v>173</v>
      </c>
      <c r="CI19">
        <v>81</v>
      </c>
      <c r="CJ19">
        <v>46.82</v>
      </c>
      <c r="CK19">
        <v>6</v>
      </c>
      <c r="CL19">
        <v>0</v>
      </c>
      <c r="CM19">
        <v>0</v>
      </c>
      <c r="CN19">
        <v>33</v>
      </c>
      <c r="CO19">
        <v>5</v>
      </c>
      <c r="CP19">
        <v>15.15</v>
      </c>
      <c r="CQ19">
        <v>20</v>
      </c>
      <c r="CR19">
        <v>3</v>
      </c>
      <c r="CS19">
        <v>15</v>
      </c>
      <c r="CT19">
        <v>5</v>
      </c>
      <c r="CU19">
        <v>1</v>
      </c>
      <c r="CV19">
        <v>20</v>
      </c>
      <c r="CW19">
        <v>16</v>
      </c>
      <c r="CX19">
        <v>3</v>
      </c>
      <c r="CY19">
        <v>18.75</v>
      </c>
      <c r="CZ19">
        <v>2</v>
      </c>
      <c r="DA19">
        <v>9</v>
      </c>
      <c r="DB19">
        <v>77</v>
      </c>
      <c r="DC19">
        <v>28</v>
      </c>
      <c r="DD19">
        <v>36.36</v>
      </c>
      <c r="DE19">
        <v>0</v>
      </c>
      <c r="DF19">
        <v>10</v>
      </c>
      <c r="DG19">
        <v>6</v>
      </c>
      <c r="DH19">
        <v>60</v>
      </c>
      <c r="DI19">
        <v>57</v>
      </c>
      <c r="DJ19">
        <v>37</v>
      </c>
      <c r="DK19">
        <v>64.91</v>
      </c>
      <c r="DL19">
        <v>11</v>
      </c>
      <c r="DM19">
        <v>8</v>
      </c>
      <c r="DN19">
        <v>72.73</v>
      </c>
      <c r="DO19">
        <v>0</v>
      </c>
      <c r="DP19">
        <v>0</v>
      </c>
      <c r="DQ19">
        <v>0</v>
      </c>
      <c r="DR19">
        <v>37</v>
      </c>
      <c r="DS19">
        <v>13</v>
      </c>
      <c r="DT19">
        <v>4</v>
      </c>
      <c r="DU19">
        <v>1</v>
      </c>
      <c r="DV19">
        <v>0</v>
      </c>
      <c r="DW19">
        <v>164</v>
      </c>
      <c r="DX19">
        <v>108</v>
      </c>
      <c r="DY19">
        <v>65.849999999999994</v>
      </c>
      <c r="DZ19">
        <v>34</v>
      </c>
      <c r="EA19">
        <v>16</v>
      </c>
      <c r="EB19">
        <v>47.06</v>
      </c>
      <c r="EC19">
        <v>60</v>
      </c>
      <c r="ED19">
        <v>33</v>
      </c>
      <c r="EE19">
        <v>55</v>
      </c>
      <c r="EF19">
        <v>68</v>
      </c>
      <c r="EG19">
        <v>43</v>
      </c>
      <c r="EH19">
        <v>63.24</v>
      </c>
      <c r="EI19">
        <v>42</v>
      </c>
      <c r="EJ19">
        <v>33</v>
      </c>
      <c r="EK19">
        <v>78.569999999999993</v>
      </c>
      <c r="EL19">
        <v>14.72</v>
      </c>
    </row>
    <row r="20" spans="1:142" ht="12" customHeight="1" x14ac:dyDescent="0.15">
      <c r="A20" s="21"/>
      <c r="B20" s="21"/>
      <c r="C20" s="21"/>
      <c r="D20" s="21"/>
      <c r="BN20" s="21" t="s">
        <v>75</v>
      </c>
      <c r="BO20" s="21" t="s">
        <v>76</v>
      </c>
      <c r="BP20" s="21" t="s">
        <v>48</v>
      </c>
      <c r="BQ20" s="21">
        <v>94</v>
      </c>
      <c r="BR20" t="s">
        <v>44</v>
      </c>
      <c r="BS20" t="s">
        <v>59</v>
      </c>
      <c r="BT20">
        <v>2</v>
      </c>
      <c r="BU20">
        <v>1.84</v>
      </c>
      <c r="BV20">
        <v>30</v>
      </c>
      <c r="BW20">
        <v>8</v>
      </c>
      <c r="BX20">
        <v>26.67</v>
      </c>
      <c r="BY20">
        <v>59.94</v>
      </c>
      <c r="BZ20">
        <v>112</v>
      </c>
      <c r="CA20">
        <v>10</v>
      </c>
      <c r="CB20">
        <v>35</v>
      </c>
      <c r="CC20">
        <v>67</v>
      </c>
      <c r="CD20">
        <v>100</v>
      </c>
      <c r="CE20">
        <v>19</v>
      </c>
      <c r="CF20">
        <v>54</v>
      </c>
      <c r="CG20">
        <v>27</v>
      </c>
      <c r="CH20">
        <v>198</v>
      </c>
      <c r="CI20">
        <v>121</v>
      </c>
      <c r="CJ20">
        <v>61.11</v>
      </c>
      <c r="CK20">
        <v>18</v>
      </c>
      <c r="CL20">
        <v>4</v>
      </c>
      <c r="CM20">
        <v>22.22</v>
      </c>
      <c r="CN20">
        <v>56</v>
      </c>
      <c r="CO20">
        <v>23</v>
      </c>
      <c r="CP20">
        <v>41.07</v>
      </c>
      <c r="CQ20">
        <v>20</v>
      </c>
      <c r="CR20">
        <v>5</v>
      </c>
      <c r="CS20">
        <v>25</v>
      </c>
      <c r="CT20">
        <v>8</v>
      </c>
      <c r="CU20">
        <v>3</v>
      </c>
      <c r="CV20">
        <v>37.5</v>
      </c>
      <c r="CW20">
        <v>21</v>
      </c>
      <c r="CX20">
        <v>5</v>
      </c>
      <c r="CY20">
        <v>23.81</v>
      </c>
      <c r="CZ20">
        <v>10</v>
      </c>
      <c r="DA20">
        <v>24</v>
      </c>
      <c r="DB20">
        <v>79</v>
      </c>
      <c r="DC20">
        <v>33</v>
      </c>
      <c r="DD20">
        <v>41.77</v>
      </c>
      <c r="DE20">
        <v>0</v>
      </c>
      <c r="DF20">
        <v>7</v>
      </c>
      <c r="DG20">
        <v>2</v>
      </c>
      <c r="DH20">
        <v>28.57</v>
      </c>
      <c r="DI20">
        <v>85</v>
      </c>
      <c r="DJ20">
        <v>65</v>
      </c>
      <c r="DK20">
        <v>76.47</v>
      </c>
      <c r="DL20">
        <v>9</v>
      </c>
      <c r="DM20">
        <v>7</v>
      </c>
      <c r="DN20">
        <v>77.78</v>
      </c>
      <c r="DO20">
        <v>2</v>
      </c>
      <c r="DP20">
        <v>1</v>
      </c>
      <c r="DQ20">
        <v>50</v>
      </c>
      <c r="DR20">
        <v>48</v>
      </c>
      <c r="DS20">
        <v>17</v>
      </c>
      <c r="DT20">
        <v>9</v>
      </c>
      <c r="DU20">
        <v>0</v>
      </c>
      <c r="DV20">
        <v>0</v>
      </c>
      <c r="DW20">
        <v>165</v>
      </c>
      <c r="DX20">
        <v>120</v>
      </c>
      <c r="DY20">
        <v>72.73</v>
      </c>
      <c r="DZ20">
        <v>39</v>
      </c>
      <c r="EA20">
        <v>18</v>
      </c>
      <c r="EB20">
        <v>46.15</v>
      </c>
      <c r="EC20">
        <v>78</v>
      </c>
      <c r="ED20">
        <v>54</v>
      </c>
      <c r="EE20">
        <v>69.23</v>
      </c>
      <c r="EF20">
        <v>98</v>
      </c>
      <c r="EG20">
        <v>76</v>
      </c>
      <c r="EH20">
        <v>77.55</v>
      </c>
      <c r="EI20">
        <v>25</v>
      </c>
      <c r="EJ20">
        <v>19</v>
      </c>
      <c r="EK20">
        <v>76</v>
      </c>
      <c r="EL20">
        <v>4.37</v>
      </c>
    </row>
    <row r="21" spans="1:142" ht="12" customHeight="1" x14ac:dyDescent="0.15">
      <c r="A21" s="21"/>
      <c r="B21" s="21"/>
      <c r="C21" s="21"/>
      <c r="D21" s="21"/>
      <c r="BN21" s="21" t="s">
        <v>75</v>
      </c>
      <c r="BO21" s="21" t="s">
        <v>76</v>
      </c>
      <c r="BP21" s="21" t="s">
        <v>48</v>
      </c>
      <c r="BQ21" s="21">
        <v>94</v>
      </c>
      <c r="BR21" t="s">
        <v>50</v>
      </c>
      <c r="BS21" t="s">
        <v>51</v>
      </c>
      <c r="BT21">
        <v>0</v>
      </c>
      <c r="BU21">
        <v>0.4</v>
      </c>
      <c r="BV21">
        <v>7</v>
      </c>
      <c r="BW21">
        <v>2</v>
      </c>
      <c r="BX21">
        <v>28.57</v>
      </c>
      <c r="BY21">
        <v>40.06</v>
      </c>
      <c r="BZ21">
        <v>134</v>
      </c>
      <c r="CA21">
        <v>38</v>
      </c>
      <c r="CB21">
        <v>68</v>
      </c>
      <c r="CC21">
        <v>28</v>
      </c>
      <c r="CD21">
        <v>72</v>
      </c>
      <c r="CE21">
        <v>44</v>
      </c>
      <c r="CF21">
        <v>20</v>
      </c>
      <c r="CG21">
        <v>8</v>
      </c>
      <c r="CH21">
        <v>198</v>
      </c>
      <c r="CI21">
        <v>74</v>
      </c>
      <c r="CJ21">
        <v>37.369999999999997</v>
      </c>
      <c r="CK21">
        <v>4</v>
      </c>
      <c r="CL21">
        <v>0</v>
      </c>
      <c r="CM21">
        <v>0</v>
      </c>
      <c r="CN21">
        <v>19</v>
      </c>
      <c r="CO21">
        <v>6</v>
      </c>
      <c r="CP21">
        <v>31.58</v>
      </c>
      <c r="CQ21">
        <v>41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9</v>
      </c>
      <c r="CX21">
        <v>3</v>
      </c>
      <c r="CY21">
        <v>33.33</v>
      </c>
      <c r="CZ21">
        <v>3</v>
      </c>
      <c r="DA21">
        <v>6</v>
      </c>
      <c r="DB21">
        <v>85</v>
      </c>
      <c r="DC21">
        <v>20</v>
      </c>
      <c r="DD21">
        <v>23.53</v>
      </c>
      <c r="DE21">
        <v>2</v>
      </c>
      <c r="DF21">
        <v>30</v>
      </c>
      <c r="DG21">
        <v>8</v>
      </c>
      <c r="DH21">
        <v>26.67</v>
      </c>
      <c r="DI21">
        <v>79</v>
      </c>
      <c r="DJ21">
        <v>46</v>
      </c>
      <c r="DK21">
        <v>58.23</v>
      </c>
      <c r="DL21">
        <v>9</v>
      </c>
      <c r="DM21">
        <v>1</v>
      </c>
      <c r="DN21">
        <v>11.11</v>
      </c>
      <c r="DO21">
        <v>3</v>
      </c>
      <c r="DP21">
        <v>1</v>
      </c>
      <c r="DQ21">
        <v>33.33</v>
      </c>
      <c r="DR21">
        <v>51</v>
      </c>
      <c r="DS21">
        <v>20</v>
      </c>
      <c r="DT21">
        <v>7</v>
      </c>
      <c r="DU21">
        <v>1</v>
      </c>
      <c r="DV21">
        <v>0</v>
      </c>
      <c r="DW21">
        <v>153</v>
      </c>
      <c r="DX21">
        <v>94</v>
      </c>
      <c r="DY21">
        <v>61.44</v>
      </c>
      <c r="DZ21">
        <v>40</v>
      </c>
      <c r="EA21">
        <v>18</v>
      </c>
      <c r="EB21">
        <v>45</v>
      </c>
      <c r="EC21">
        <v>24</v>
      </c>
      <c r="ED21">
        <v>13</v>
      </c>
      <c r="EE21">
        <v>54.17</v>
      </c>
      <c r="EF21">
        <v>77</v>
      </c>
      <c r="EG21">
        <v>24</v>
      </c>
      <c r="EH21">
        <v>31.17</v>
      </c>
      <c r="EI21">
        <v>24</v>
      </c>
      <c r="EJ21">
        <v>12</v>
      </c>
      <c r="EK21">
        <v>50</v>
      </c>
      <c r="EL21">
        <v>13.46</v>
      </c>
    </row>
    <row r="22" spans="1:142" ht="12" customHeight="1" x14ac:dyDescent="0.15">
      <c r="A22" s="21"/>
      <c r="B22" s="21"/>
      <c r="C22" s="21"/>
      <c r="D22" s="21"/>
      <c r="BN22" s="21" t="s">
        <v>77</v>
      </c>
      <c r="BO22" s="21" t="s">
        <v>78</v>
      </c>
      <c r="BP22" s="21" t="s">
        <v>48</v>
      </c>
      <c r="BQ22" s="21">
        <v>96</v>
      </c>
      <c r="BR22" t="s">
        <v>44</v>
      </c>
      <c r="BS22" t="s">
        <v>54</v>
      </c>
      <c r="BT22">
        <v>2</v>
      </c>
      <c r="BU22">
        <v>1.74</v>
      </c>
      <c r="BV22">
        <v>18</v>
      </c>
      <c r="BW22">
        <v>8</v>
      </c>
      <c r="BX22">
        <v>44.44</v>
      </c>
      <c r="BY22">
        <v>50.98</v>
      </c>
      <c r="BZ22">
        <v>167</v>
      </c>
      <c r="CA22">
        <v>38</v>
      </c>
      <c r="CB22">
        <v>51</v>
      </c>
      <c r="CC22">
        <v>78</v>
      </c>
      <c r="CD22">
        <v>106</v>
      </c>
      <c r="CE22">
        <v>51</v>
      </c>
      <c r="CF22">
        <v>44</v>
      </c>
      <c r="CG22">
        <v>11</v>
      </c>
      <c r="CH22">
        <v>170</v>
      </c>
      <c r="CI22">
        <v>81</v>
      </c>
      <c r="CJ22">
        <v>47.65</v>
      </c>
      <c r="CK22">
        <v>9</v>
      </c>
      <c r="CL22">
        <v>4</v>
      </c>
      <c r="CM22">
        <v>44.44</v>
      </c>
      <c r="CN22">
        <v>41</v>
      </c>
      <c r="CO22">
        <v>15</v>
      </c>
      <c r="CP22">
        <v>36.590000000000003</v>
      </c>
      <c r="CQ22">
        <v>19</v>
      </c>
      <c r="CR22">
        <v>2</v>
      </c>
      <c r="CS22">
        <v>10.53</v>
      </c>
      <c r="CT22">
        <v>1</v>
      </c>
      <c r="CU22">
        <v>0</v>
      </c>
      <c r="CV22">
        <v>0</v>
      </c>
      <c r="CW22">
        <v>11</v>
      </c>
      <c r="CX22">
        <v>1</v>
      </c>
      <c r="CY22">
        <v>9.09</v>
      </c>
      <c r="CZ22">
        <v>8</v>
      </c>
      <c r="DA22">
        <v>12</v>
      </c>
      <c r="DB22">
        <v>67</v>
      </c>
      <c r="DC22">
        <v>16</v>
      </c>
      <c r="DD22">
        <v>23.88</v>
      </c>
      <c r="DE22">
        <v>0</v>
      </c>
      <c r="DF22">
        <v>15</v>
      </c>
      <c r="DG22">
        <v>3</v>
      </c>
      <c r="DH22">
        <v>20</v>
      </c>
      <c r="DI22">
        <v>75</v>
      </c>
      <c r="DJ22">
        <v>55</v>
      </c>
      <c r="DK22">
        <v>73.33</v>
      </c>
      <c r="DL22">
        <v>10</v>
      </c>
      <c r="DM22">
        <v>4</v>
      </c>
      <c r="DN22">
        <v>40</v>
      </c>
      <c r="DO22">
        <v>1</v>
      </c>
      <c r="DP22">
        <v>1</v>
      </c>
      <c r="DQ22">
        <v>100</v>
      </c>
      <c r="DR22">
        <v>69</v>
      </c>
      <c r="DS22">
        <v>10</v>
      </c>
      <c r="DT22">
        <v>5</v>
      </c>
      <c r="DU22">
        <v>0</v>
      </c>
      <c r="DV22">
        <v>0</v>
      </c>
      <c r="DW22">
        <v>184</v>
      </c>
      <c r="DX22">
        <v>111</v>
      </c>
      <c r="DY22">
        <v>60.33</v>
      </c>
      <c r="DZ22">
        <v>44</v>
      </c>
      <c r="EA22">
        <v>22</v>
      </c>
      <c r="EB22">
        <v>50</v>
      </c>
      <c r="EC22">
        <v>78</v>
      </c>
      <c r="ED22">
        <v>37</v>
      </c>
      <c r="EE22">
        <v>47.44</v>
      </c>
      <c r="EF22">
        <v>110</v>
      </c>
      <c r="EG22">
        <v>65</v>
      </c>
      <c r="EH22">
        <v>59.09</v>
      </c>
      <c r="EI22">
        <v>39</v>
      </c>
      <c r="EJ22">
        <v>30</v>
      </c>
      <c r="EK22">
        <v>76.92</v>
      </c>
      <c r="EL22">
        <v>5.18</v>
      </c>
    </row>
    <row r="23" spans="1:142" ht="12" customHeight="1" x14ac:dyDescent="0.15">
      <c r="A23" s="21"/>
      <c r="B23" s="21"/>
      <c r="C23" s="21"/>
      <c r="D23" s="21"/>
      <c r="BN23" s="21" t="s">
        <v>77</v>
      </c>
      <c r="BO23" s="21" t="s">
        <v>78</v>
      </c>
      <c r="BP23" s="21" t="s">
        <v>48</v>
      </c>
      <c r="BQ23" s="21">
        <v>96</v>
      </c>
      <c r="BR23" t="s">
        <v>55</v>
      </c>
      <c r="BS23" t="s">
        <v>79</v>
      </c>
      <c r="BT23">
        <v>0</v>
      </c>
      <c r="BU23">
        <v>1.31</v>
      </c>
      <c r="BV23">
        <v>15</v>
      </c>
      <c r="BW23">
        <v>3</v>
      </c>
      <c r="BX23">
        <v>20</v>
      </c>
      <c r="BY23">
        <v>49.02</v>
      </c>
      <c r="BZ23">
        <v>154</v>
      </c>
      <c r="CA23">
        <v>21</v>
      </c>
      <c r="CB23">
        <v>68</v>
      </c>
      <c r="CC23">
        <v>65</v>
      </c>
      <c r="CD23">
        <v>94</v>
      </c>
      <c r="CE23">
        <v>46</v>
      </c>
      <c r="CF23">
        <v>26</v>
      </c>
      <c r="CG23">
        <v>22</v>
      </c>
      <c r="CH23">
        <v>170</v>
      </c>
      <c r="CI23">
        <v>88</v>
      </c>
      <c r="CJ23">
        <v>51.76</v>
      </c>
      <c r="CK23">
        <v>8</v>
      </c>
      <c r="CL23">
        <v>2</v>
      </c>
      <c r="CM23">
        <v>25</v>
      </c>
      <c r="CN23">
        <v>33</v>
      </c>
      <c r="CO23">
        <v>8</v>
      </c>
      <c r="CP23">
        <v>24.24</v>
      </c>
      <c r="CQ23">
        <v>33</v>
      </c>
      <c r="CR23">
        <v>7</v>
      </c>
      <c r="CS23">
        <v>21.21</v>
      </c>
      <c r="CT23">
        <v>7</v>
      </c>
      <c r="CU23">
        <v>4</v>
      </c>
      <c r="CV23">
        <v>57.14</v>
      </c>
      <c r="CW23">
        <v>15</v>
      </c>
      <c r="CX23">
        <v>5</v>
      </c>
      <c r="CY23">
        <v>33.33</v>
      </c>
      <c r="CZ23">
        <v>5</v>
      </c>
      <c r="DA23">
        <v>16</v>
      </c>
      <c r="DB23">
        <v>75</v>
      </c>
      <c r="DC23">
        <v>20</v>
      </c>
      <c r="DD23">
        <v>26.67</v>
      </c>
      <c r="DE23">
        <v>2</v>
      </c>
      <c r="DF23">
        <v>18</v>
      </c>
      <c r="DG23">
        <v>8</v>
      </c>
      <c r="DH23">
        <v>44.44</v>
      </c>
      <c r="DI23">
        <v>67</v>
      </c>
      <c r="DJ23">
        <v>51</v>
      </c>
      <c r="DK23">
        <v>76.12</v>
      </c>
      <c r="DL23">
        <v>10</v>
      </c>
      <c r="DM23">
        <v>6</v>
      </c>
      <c r="DN23">
        <v>60</v>
      </c>
      <c r="DO23">
        <v>5</v>
      </c>
      <c r="DP23">
        <v>3</v>
      </c>
      <c r="DQ23">
        <v>60</v>
      </c>
      <c r="DR23">
        <v>50</v>
      </c>
      <c r="DS23">
        <v>18</v>
      </c>
      <c r="DT23">
        <v>4</v>
      </c>
      <c r="DU23">
        <v>1</v>
      </c>
      <c r="DV23">
        <v>0</v>
      </c>
      <c r="DW23">
        <v>170</v>
      </c>
      <c r="DX23">
        <v>102</v>
      </c>
      <c r="DY23">
        <v>60</v>
      </c>
      <c r="DZ23">
        <v>54</v>
      </c>
      <c r="EA23">
        <v>32</v>
      </c>
      <c r="EB23">
        <v>59.26</v>
      </c>
      <c r="EC23">
        <v>57</v>
      </c>
      <c r="ED23">
        <v>30</v>
      </c>
      <c r="EE23">
        <v>52.63</v>
      </c>
      <c r="EF23">
        <v>89</v>
      </c>
      <c r="EG23">
        <v>46</v>
      </c>
      <c r="EH23">
        <v>51.69</v>
      </c>
      <c r="EI23">
        <v>33</v>
      </c>
      <c r="EJ23">
        <v>28</v>
      </c>
      <c r="EK23">
        <v>84.85</v>
      </c>
      <c r="EL23">
        <v>10.47</v>
      </c>
    </row>
    <row r="24" spans="1:142" x14ac:dyDescent="0.15">
      <c r="BN24" s="21" t="s">
        <v>80</v>
      </c>
      <c r="BO24" s="21" t="s">
        <v>81</v>
      </c>
      <c r="BP24" s="21" t="s">
        <v>48</v>
      </c>
      <c r="BQ24" s="21">
        <v>95</v>
      </c>
      <c r="BR24" t="s">
        <v>44</v>
      </c>
      <c r="BS24" t="s">
        <v>56</v>
      </c>
      <c r="BT24">
        <v>6</v>
      </c>
      <c r="BU24">
        <v>1.77</v>
      </c>
      <c r="BV24">
        <v>20</v>
      </c>
      <c r="BW24">
        <v>11</v>
      </c>
      <c r="BX24">
        <v>55</v>
      </c>
      <c r="BY24">
        <v>62.41</v>
      </c>
      <c r="BZ24">
        <v>132</v>
      </c>
      <c r="CA24">
        <v>4</v>
      </c>
      <c r="CB24">
        <v>27</v>
      </c>
      <c r="CC24">
        <v>101</v>
      </c>
      <c r="CD24">
        <v>95</v>
      </c>
      <c r="CE24">
        <v>19</v>
      </c>
      <c r="CF24">
        <v>44</v>
      </c>
      <c r="CG24">
        <v>32</v>
      </c>
      <c r="CH24">
        <v>155</v>
      </c>
      <c r="CI24">
        <v>78</v>
      </c>
      <c r="CJ24">
        <v>50.32</v>
      </c>
      <c r="CK24">
        <v>13</v>
      </c>
      <c r="CL24">
        <v>6</v>
      </c>
      <c r="CM24">
        <v>46.15</v>
      </c>
      <c r="CN24">
        <v>67</v>
      </c>
      <c r="CO24">
        <v>17</v>
      </c>
      <c r="CP24">
        <v>25.37</v>
      </c>
      <c r="CQ24">
        <v>13</v>
      </c>
      <c r="CR24">
        <v>3</v>
      </c>
      <c r="CS24">
        <v>23.08</v>
      </c>
      <c r="CT24">
        <v>7</v>
      </c>
      <c r="CU24">
        <v>2</v>
      </c>
      <c r="CV24">
        <v>28.57</v>
      </c>
      <c r="CW24">
        <v>29</v>
      </c>
      <c r="CX24">
        <v>8</v>
      </c>
      <c r="CY24">
        <v>27.59</v>
      </c>
      <c r="CZ24">
        <v>5</v>
      </c>
      <c r="DA24">
        <v>22</v>
      </c>
      <c r="DB24">
        <v>70</v>
      </c>
      <c r="DC24">
        <v>27</v>
      </c>
      <c r="DD24">
        <v>38.57</v>
      </c>
      <c r="DE24">
        <v>0</v>
      </c>
      <c r="DF24">
        <v>4</v>
      </c>
      <c r="DG24">
        <v>2</v>
      </c>
      <c r="DH24">
        <v>50</v>
      </c>
      <c r="DI24">
        <v>54</v>
      </c>
      <c r="DJ24">
        <v>38</v>
      </c>
      <c r="DK24">
        <v>70.37</v>
      </c>
      <c r="DL24">
        <v>11</v>
      </c>
      <c r="DM24">
        <v>6</v>
      </c>
      <c r="DN24">
        <v>54.55</v>
      </c>
      <c r="DO24">
        <v>1</v>
      </c>
      <c r="DP24">
        <v>1</v>
      </c>
      <c r="DQ24">
        <v>100</v>
      </c>
      <c r="DR24">
        <v>26</v>
      </c>
      <c r="DS24">
        <v>4</v>
      </c>
      <c r="DT24">
        <v>6</v>
      </c>
      <c r="DU24">
        <v>1</v>
      </c>
      <c r="DV24">
        <v>0</v>
      </c>
      <c r="DW24">
        <v>180</v>
      </c>
      <c r="DX24">
        <v>136</v>
      </c>
      <c r="DY24">
        <v>75.56</v>
      </c>
      <c r="DZ24">
        <v>46</v>
      </c>
      <c r="EA24">
        <v>19</v>
      </c>
      <c r="EB24">
        <v>41.3</v>
      </c>
      <c r="EC24">
        <v>78</v>
      </c>
      <c r="ED24">
        <v>52</v>
      </c>
      <c r="EE24">
        <v>66.67</v>
      </c>
      <c r="EF24">
        <v>75</v>
      </c>
      <c r="EG24">
        <v>67</v>
      </c>
      <c r="EH24">
        <v>89.33</v>
      </c>
      <c r="EI24">
        <v>32</v>
      </c>
      <c r="EJ24">
        <v>29</v>
      </c>
      <c r="EK24">
        <v>90.63</v>
      </c>
      <c r="EL24">
        <v>8.74</v>
      </c>
    </row>
    <row r="25" spans="1:142" x14ac:dyDescent="0.15">
      <c r="BN25" s="21" t="s">
        <v>80</v>
      </c>
      <c r="BO25" s="21" t="s">
        <v>81</v>
      </c>
      <c r="BP25" s="21" t="s">
        <v>48</v>
      </c>
      <c r="BQ25" s="21">
        <v>95</v>
      </c>
      <c r="BR25" t="s">
        <v>66</v>
      </c>
      <c r="BS25" t="s">
        <v>82</v>
      </c>
      <c r="BT25">
        <v>0</v>
      </c>
      <c r="BU25">
        <v>0.1</v>
      </c>
      <c r="BV25">
        <v>4</v>
      </c>
      <c r="BW25">
        <v>2</v>
      </c>
      <c r="BX25">
        <v>50</v>
      </c>
      <c r="BY25">
        <v>37.590000000000003</v>
      </c>
      <c r="BZ25">
        <v>126</v>
      </c>
      <c r="CA25">
        <v>43</v>
      </c>
      <c r="CB25">
        <v>62</v>
      </c>
      <c r="CC25">
        <v>21</v>
      </c>
      <c r="CD25">
        <v>80</v>
      </c>
      <c r="CE25">
        <v>48</v>
      </c>
      <c r="CF25">
        <v>31</v>
      </c>
      <c r="CG25">
        <v>1</v>
      </c>
      <c r="CH25">
        <v>155</v>
      </c>
      <c r="CI25">
        <v>74</v>
      </c>
      <c r="CJ25">
        <v>47.74</v>
      </c>
      <c r="CK25">
        <v>4</v>
      </c>
      <c r="CL25">
        <v>2</v>
      </c>
      <c r="CM25">
        <v>50</v>
      </c>
      <c r="CN25">
        <v>6</v>
      </c>
      <c r="CO25">
        <v>2</v>
      </c>
      <c r="CP25">
        <v>33.33</v>
      </c>
      <c r="CQ25">
        <v>23</v>
      </c>
      <c r="CR25">
        <v>1</v>
      </c>
      <c r="CS25">
        <v>4.3499999999999996</v>
      </c>
      <c r="CT25">
        <v>0</v>
      </c>
      <c r="CU25">
        <v>0</v>
      </c>
      <c r="CV25">
        <v>0</v>
      </c>
      <c r="CW25">
        <v>2</v>
      </c>
      <c r="CX25">
        <v>0</v>
      </c>
      <c r="CY25">
        <v>0</v>
      </c>
      <c r="CZ25">
        <v>2</v>
      </c>
      <c r="DA25">
        <v>4</v>
      </c>
      <c r="DB25">
        <v>54</v>
      </c>
      <c r="DC25">
        <v>16</v>
      </c>
      <c r="DD25">
        <v>29.63</v>
      </c>
      <c r="DE25">
        <v>6</v>
      </c>
      <c r="DF25">
        <v>20</v>
      </c>
      <c r="DG25">
        <v>13</v>
      </c>
      <c r="DH25">
        <v>65</v>
      </c>
      <c r="DI25">
        <v>70</v>
      </c>
      <c r="DJ25">
        <v>43</v>
      </c>
      <c r="DK25">
        <v>61.43</v>
      </c>
      <c r="DL25">
        <v>11</v>
      </c>
      <c r="DM25">
        <v>4</v>
      </c>
      <c r="DN25">
        <v>36.36</v>
      </c>
      <c r="DO25">
        <v>1</v>
      </c>
      <c r="DP25">
        <v>1</v>
      </c>
      <c r="DQ25">
        <v>100</v>
      </c>
      <c r="DR25">
        <v>52</v>
      </c>
      <c r="DS25">
        <v>22</v>
      </c>
      <c r="DT25">
        <v>3</v>
      </c>
      <c r="DU25">
        <v>0</v>
      </c>
      <c r="DV25">
        <v>0</v>
      </c>
      <c r="DW25">
        <v>132</v>
      </c>
      <c r="DX25">
        <v>73</v>
      </c>
      <c r="DY25">
        <v>55.3</v>
      </c>
      <c r="DZ25">
        <v>56</v>
      </c>
      <c r="EA25">
        <v>27</v>
      </c>
      <c r="EB25">
        <v>48.21</v>
      </c>
      <c r="EC25">
        <v>25</v>
      </c>
      <c r="ED25">
        <v>13</v>
      </c>
      <c r="EE25">
        <v>52</v>
      </c>
      <c r="EF25">
        <v>70</v>
      </c>
      <c r="EG25">
        <v>20</v>
      </c>
      <c r="EH25">
        <v>28.57</v>
      </c>
      <c r="EI25">
        <v>14</v>
      </c>
      <c r="EJ25">
        <v>11</v>
      </c>
      <c r="EK25">
        <v>78.569999999999993</v>
      </c>
      <c r="EL25">
        <v>22.31</v>
      </c>
    </row>
    <row r="26" spans="1:142" x14ac:dyDescent="0.15">
      <c r="BN26" s="21"/>
      <c r="BO26" s="21"/>
      <c r="BP26" s="21"/>
      <c r="BQ26" s="21"/>
    </row>
    <row r="27" spans="1:142" x14ac:dyDescent="0.15">
      <c r="BN27" s="21"/>
      <c r="BO27" s="21"/>
      <c r="BP27" s="21"/>
      <c r="BQ27" s="21"/>
    </row>
  </sheetData>
  <mergeCells count="122">
    <mergeCell ref="BN26:BN27"/>
    <mergeCell ref="BO26:BO27"/>
    <mergeCell ref="BP26:BP27"/>
    <mergeCell ref="BQ26:BQ27"/>
    <mergeCell ref="BN22:BN23"/>
    <mergeCell ref="BO22:BO23"/>
    <mergeCell ref="BP22:BP23"/>
    <mergeCell ref="BQ22:BQ23"/>
    <mergeCell ref="BN24:BN25"/>
    <mergeCell ref="BO24:BO25"/>
    <mergeCell ref="BP24:BP25"/>
    <mergeCell ref="BQ24:BQ25"/>
    <mergeCell ref="BN18:BN19"/>
    <mergeCell ref="BO18:BO19"/>
    <mergeCell ref="BP18:BP19"/>
    <mergeCell ref="BQ18:BQ19"/>
    <mergeCell ref="BN20:BN21"/>
    <mergeCell ref="BO20:BO21"/>
    <mergeCell ref="BP20:BP21"/>
    <mergeCell ref="BQ20:BQ21"/>
    <mergeCell ref="BN14:BN15"/>
    <mergeCell ref="BO14:BO15"/>
    <mergeCell ref="BP14:BP15"/>
    <mergeCell ref="BQ14:BQ15"/>
    <mergeCell ref="BN16:BN17"/>
    <mergeCell ref="BO16:BO17"/>
    <mergeCell ref="BP16:BP17"/>
    <mergeCell ref="BQ16:BQ17"/>
    <mergeCell ref="BO10:BO11"/>
    <mergeCell ref="BP10:BP11"/>
    <mergeCell ref="BQ10:BQ11"/>
    <mergeCell ref="BN12:BN13"/>
    <mergeCell ref="BO12:BO13"/>
    <mergeCell ref="BP12:BP13"/>
    <mergeCell ref="BQ12:BQ13"/>
    <mergeCell ref="DZ1:EB1"/>
    <mergeCell ref="EC1:EE1"/>
    <mergeCell ref="EF1:EH1"/>
    <mergeCell ref="EI1:EK1"/>
    <mergeCell ref="BN4:BN5"/>
    <mergeCell ref="BO4:BO5"/>
    <mergeCell ref="BP4:BP5"/>
    <mergeCell ref="BQ4:BQ5"/>
    <mergeCell ref="DF1:DH1"/>
    <mergeCell ref="DI1:DK1"/>
    <mergeCell ref="DL1:DN1"/>
    <mergeCell ref="DO1:DQ1"/>
    <mergeCell ref="DW1:DY1"/>
    <mergeCell ref="CN1:CP1"/>
    <mergeCell ref="CQ1:CS1"/>
    <mergeCell ref="CT1:CV1"/>
    <mergeCell ref="CW1:CY1"/>
    <mergeCell ref="DB1:DD1"/>
    <mergeCell ref="BV1:BX1"/>
    <mergeCell ref="BZ1:CC1"/>
    <mergeCell ref="CD1:CG1"/>
    <mergeCell ref="CH1:CJ1"/>
    <mergeCell ref="CK1:CM1"/>
    <mergeCell ref="C4:C5"/>
    <mergeCell ref="B12:B13"/>
    <mergeCell ref="B18:B19"/>
    <mergeCell ref="AW1:AY1"/>
    <mergeCell ref="AZ1:BB1"/>
    <mergeCell ref="BN6:BN7"/>
    <mergeCell ref="BO6:BO7"/>
    <mergeCell ref="BP6:BP7"/>
    <mergeCell ref="BQ6:BQ7"/>
    <mergeCell ref="BN8:BN9"/>
    <mergeCell ref="BO8:BO9"/>
    <mergeCell ref="BP8:BP9"/>
    <mergeCell ref="BQ8:BQ9"/>
    <mergeCell ref="BN10:BN11"/>
    <mergeCell ref="A16:A17"/>
    <mergeCell ref="C10:C11"/>
    <mergeCell ref="C16:C17"/>
    <mergeCell ref="B20:B21"/>
    <mergeCell ref="A10:A11"/>
    <mergeCell ref="A6:A7"/>
    <mergeCell ref="AM1:AO1"/>
    <mergeCell ref="B14:B15"/>
    <mergeCell ref="C22:C23"/>
    <mergeCell ref="L1:N1"/>
    <mergeCell ref="A12:A13"/>
    <mergeCell ref="D4:D5"/>
    <mergeCell ref="C12:C13"/>
    <mergeCell ref="I1:K1"/>
    <mergeCell ref="A18:A19"/>
    <mergeCell ref="A14:A15"/>
    <mergeCell ref="A8:A9"/>
    <mergeCell ref="D18:D19"/>
    <mergeCell ref="A4:A5"/>
    <mergeCell ref="A22:A23"/>
    <mergeCell ref="A20:A21"/>
    <mergeCell ref="D16:D17"/>
    <mergeCell ref="D12:D13"/>
    <mergeCell ref="B10:B11"/>
    <mergeCell ref="B6:B7"/>
    <mergeCell ref="P1:S1"/>
    <mergeCell ref="X1:Z1"/>
    <mergeCell ref="AJ1:AL1"/>
    <mergeCell ref="C8:C9"/>
    <mergeCell ref="BC1:BE1"/>
    <mergeCell ref="D6:D7"/>
    <mergeCell ref="BF1:BH1"/>
    <mergeCell ref="D8:D9"/>
    <mergeCell ref="B4:B5"/>
    <mergeCell ref="B22:B23"/>
    <mergeCell ref="AS1:AU1"/>
    <mergeCell ref="B16:B17"/>
    <mergeCell ref="C6:C7"/>
    <mergeCell ref="C18:C19"/>
    <mergeCell ref="C14:C15"/>
    <mergeCell ref="D22:D23"/>
    <mergeCell ref="D20:D21"/>
    <mergeCell ref="D14:D15"/>
    <mergeCell ref="T1:W1"/>
    <mergeCell ref="AA1:AC1"/>
    <mergeCell ref="AG1:AI1"/>
    <mergeCell ref="D10:D11"/>
    <mergeCell ref="C20:C21"/>
    <mergeCell ref="B8:B9"/>
    <mergeCell ref="AD1:A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21"/>
  <sheetViews>
    <sheetView workbookViewId="0">
      <pane xSplit="2" ySplit="2" topLeftCell="C3" activePane="bottomRight" state="frozen"/>
      <selection pane="topRight"/>
      <selection pane="bottomLeft"/>
      <selection pane="bottomRight" activeCell="BI17" sqref="BI17"/>
    </sheetView>
  </sheetViews>
  <sheetFormatPr baseColWidth="10" defaultColWidth="8.83203125" defaultRowHeight="14" x14ac:dyDescent="0.15"/>
  <cols>
    <col min="1" max="1" width="5" customWidth="1"/>
    <col min="2" max="2" width="18" customWidth="1"/>
    <col min="3" max="3" width="13" customWidth="1"/>
    <col min="4" max="4" width="9" customWidth="1"/>
    <col min="5" max="5" width="10" customWidth="1"/>
    <col min="6" max="6" width="9" customWidth="1"/>
    <col min="7" max="8" width="8" customWidth="1"/>
    <col min="9" max="9" width="9" customWidth="1"/>
    <col min="10" max="10" width="8" customWidth="1"/>
    <col min="11" max="11" width="10" customWidth="1"/>
    <col min="12" max="12" width="9" customWidth="1"/>
    <col min="13" max="13" width="12" customWidth="1"/>
    <col min="14" max="14" width="9" customWidth="1"/>
    <col min="15" max="15" width="12" customWidth="1"/>
    <col min="16" max="16" width="10" customWidth="1"/>
    <col min="17" max="17" width="12" customWidth="1"/>
    <col min="18" max="19" width="10" customWidth="1"/>
    <col min="20" max="20" width="9" customWidth="1"/>
    <col min="21" max="21" width="13" customWidth="1"/>
    <col min="22" max="22" width="15" customWidth="1"/>
    <col min="23" max="23" width="12" customWidth="1"/>
    <col min="24" max="24" width="19" customWidth="1"/>
    <col min="25" max="25" width="11" customWidth="1"/>
    <col min="26" max="26" width="13" customWidth="1"/>
    <col min="27" max="27" width="11" customWidth="1"/>
    <col min="28" max="28" width="7" customWidth="1"/>
    <col min="29" max="29" width="12" customWidth="1"/>
    <col min="30" max="30" width="8" customWidth="1"/>
    <col min="31" max="31" width="12" customWidth="1"/>
    <col min="32" max="32" width="8" customWidth="1"/>
    <col min="33" max="33" width="13" customWidth="1"/>
    <col min="34" max="34" width="9" customWidth="1"/>
    <col min="35" max="35" width="12" customWidth="1"/>
    <col min="36" max="36" width="9" customWidth="1"/>
    <col min="37" max="37" width="8" customWidth="1"/>
    <col min="38" max="38" width="16" customWidth="1"/>
    <col min="39" max="39" width="10" customWidth="1"/>
    <col min="40" max="40" width="16" customWidth="1"/>
    <col min="41" max="41" width="14" customWidth="1"/>
    <col min="42" max="42" width="11" customWidth="1"/>
    <col min="43" max="43" width="18" customWidth="1"/>
    <col min="44" max="44" width="10" customWidth="1"/>
    <col min="45" max="45" width="11" customWidth="1"/>
    <col min="46" max="46" width="8" customWidth="1"/>
    <col min="47" max="47" width="12" customWidth="1"/>
    <col min="48" max="48" width="8" customWidth="1"/>
    <col min="49" max="49" width="14" customWidth="1"/>
    <col min="50" max="50" width="10" customWidth="1"/>
    <col min="51" max="51" width="16" customWidth="1"/>
    <col min="52" max="52" width="11" customWidth="1"/>
    <col min="53" max="53" width="12" customWidth="1"/>
    <col min="54" max="54" width="8" customWidth="1"/>
    <col min="55" max="56" width="13" customWidth="1"/>
    <col min="57" max="57" width="12" customWidth="1"/>
    <col min="58" max="58" width="13" customWidth="1"/>
    <col min="59" max="59" width="14" customWidth="1"/>
    <col min="60" max="60" width="10" customWidth="1"/>
    <col min="61" max="61" width="17" customWidth="1"/>
    <col min="62" max="62" width="11" customWidth="1"/>
    <col min="63" max="63" width="16" customWidth="1"/>
    <col min="64" max="64" width="12" customWidth="1"/>
    <col min="65" max="65" width="13" customWidth="1"/>
    <col min="66" max="66" width="14" customWidth="1"/>
  </cols>
  <sheetData>
    <row r="1" spans="1:66" ht="22" customHeight="1" x14ac:dyDescent="0.15">
      <c r="A1" s="2" t="s">
        <v>83</v>
      </c>
      <c r="B1" s="20" t="s">
        <v>84</v>
      </c>
      <c r="C1" s="21"/>
      <c r="D1" s="24" t="s">
        <v>85</v>
      </c>
      <c r="E1" s="21"/>
      <c r="F1" s="21"/>
      <c r="G1" s="21"/>
      <c r="H1" s="21"/>
      <c r="I1" s="21"/>
      <c r="J1" s="21"/>
      <c r="K1" s="25" t="s">
        <v>86</v>
      </c>
      <c r="L1" s="21"/>
      <c r="M1" s="21"/>
      <c r="N1" s="21"/>
      <c r="O1" s="21"/>
      <c r="P1" s="21"/>
      <c r="Q1" s="21"/>
      <c r="R1" s="21"/>
      <c r="S1" s="21"/>
      <c r="T1" s="21"/>
      <c r="U1" s="26" t="s">
        <v>87</v>
      </c>
      <c r="V1" s="21"/>
      <c r="W1" s="21"/>
      <c r="X1" s="21"/>
      <c r="Y1" s="21"/>
      <c r="Z1" s="21"/>
      <c r="AA1" s="21"/>
      <c r="AB1" s="3" t="s">
        <v>88</v>
      </c>
      <c r="AC1" s="22" t="s">
        <v>89</v>
      </c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5" t="s">
        <v>90</v>
      </c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3" t="s">
        <v>91</v>
      </c>
      <c r="BN1" s="21"/>
    </row>
    <row r="2" spans="1:66" ht="30" customHeight="1" x14ac:dyDescent="0.15">
      <c r="A2" s="4" t="s">
        <v>92</v>
      </c>
      <c r="B2" s="4" t="s">
        <v>93</v>
      </c>
      <c r="C2" s="4" t="s">
        <v>94</v>
      </c>
      <c r="D2" s="4" t="s">
        <v>95</v>
      </c>
      <c r="E2" s="4" t="s">
        <v>96</v>
      </c>
      <c r="F2" s="4" t="s">
        <v>97</v>
      </c>
      <c r="G2" s="4" t="s">
        <v>13</v>
      </c>
      <c r="H2" s="4" t="s">
        <v>14</v>
      </c>
      <c r="I2" s="4" t="s">
        <v>98</v>
      </c>
      <c r="J2" s="4" t="s">
        <v>99</v>
      </c>
      <c r="K2" s="4" t="s">
        <v>473</v>
      </c>
      <c r="L2" s="4" t="s">
        <v>100</v>
      </c>
      <c r="M2" s="4" t="s">
        <v>474</v>
      </c>
      <c r="N2" s="4" t="s">
        <v>101</v>
      </c>
      <c r="O2" s="4" t="s">
        <v>475</v>
      </c>
      <c r="P2" s="4" t="s">
        <v>102</v>
      </c>
      <c r="Q2" s="4" t="s">
        <v>103</v>
      </c>
      <c r="R2" s="4" t="s">
        <v>104</v>
      </c>
      <c r="S2" s="4" t="s">
        <v>105</v>
      </c>
      <c r="T2" s="4" t="s">
        <v>106</v>
      </c>
      <c r="U2" s="4" t="s">
        <v>107</v>
      </c>
      <c r="V2" s="4" t="s">
        <v>108</v>
      </c>
      <c r="W2" s="4" t="s">
        <v>109</v>
      </c>
      <c r="X2" s="4" t="s">
        <v>110</v>
      </c>
      <c r="Y2" s="4" t="s">
        <v>111</v>
      </c>
      <c r="Z2" s="4" t="s">
        <v>112</v>
      </c>
      <c r="AA2" s="4" t="s">
        <v>113</v>
      </c>
      <c r="AB2" s="4" t="s">
        <v>88</v>
      </c>
      <c r="AC2" s="5" t="s">
        <v>114</v>
      </c>
      <c r="AD2" s="5" t="s">
        <v>115</v>
      </c>
      <c r="AE2" s="5" t="s">
        <v>116</v>
      </c>
      <c r="AF2" s="5" t="s">
        <v>117</v>
      </c>
      <c r="AG2" s="5" t="s">
        <v>118</v>
      </c>
      <c r="AH2" s="5" t="s">
        <v>119</v>
      </c>
      <c r="AI2" s="5" t="s">
        <v>120</v>
      </c>
      <c r="AJ2" s="5" t="s">
        <v>121</v>
      </c>
      <c r="AK2" s="5" t="s">
        <v>122</v>
      </c>
      <c r="AL2" s="5" t="s">
        <v>123</v>
      </c>
      <c r="AM2" s="5" t="s">
        <v>124</v>
      </c>
      <c r="AN2" s="5" t="s">
        <v>472</v>
      </c>
      <c r="AO2" s="5" t="s">
        <v>125</v>
      </c>
      <c r="AP2" s="5" t="s">
        <v>126</v>
      </c>
      <c r="AQ2" s="5" t="s">
        <v>127</v>
      </c>
      <c r="AR2" s="5" t="s">
        <v>128</v>
      </c>
      <c r="AS2" s="6" t="s">
        <v>129</v>
      </c>
      <c r="AT2" s="6" t="s">
        <v>130</v>
      </c>
      <c r="AU2" s="6" t="s">
        <v>131</v>
      </c>
      <c r="AV2" s="6" t="s">
        <v>132</v>
      </c>
      <c r="AW2" s="6" t="s">
        <v>133</v>
      </c>
      <c r="AX2" s="6" t="s">
        <v>134</v>
      </c>
      <c r="AY2" s="6" t="s">
        <v>135</v>
      </c>
      <c r="AZ2" s="6" t="s">
        <v>136</v>
      </c>
      <c r="BA2" s="6" t="s">
        <v>137</v>
      </c>
      <c r="BB2" s="6" t="s">
        <v>138</v>
      </c>
      <c r="BC2" s="6" t="s">
        <v>139</v>
      </c>
      <c r="BD2" s="6" t="s">
        <v>140</v>
      </c>
      <c r="BE2" s="6" t="s">
        <v>141</v>
      </c>
      <c r="BF2" s="6" t="s">
        <v>142</v>
      </c>
      <c r="BG2" s="6" t="s">
        <v>143</v>
      </c>
      <c r="BH2" s="6" t="s">
        <v>144</v>
      </c>
      <c r="BI2" s="6" t="s">
        <v>145</v>
      </c>
      <c r="BJ2" s="6" t="s">
        <v>146</v>
      </c>
      <c r="BK2" s="6" t="s">
        <v>147</v>
      </c>
      <c r="BL2" s="6" t="s">
        <v>148</v>
      </c>
      <c r="BM2" s="7" t="s">
        <v>149</v>
      </c>
      <c r="BN2" s="7" t="s">
        <v>150</v>
      </c>
    </row>
    <row r="3" spans="1:66" ht="18" customHeight="1" x14ac:dyDescent="0.15">
      <c r="A3" s="8">
        <v>1</v>
      </c>
      <c r="B3" s="9" t="s">
        <v>151</v>
      </c>
      <c r="C3" s="10" t="s">
        <v>152</v>
      </c>
      <c r="D3" s="8">
        <v>8</v>
      </c>
      <c r="E3" s="8">
        <v>766</v>
      </c>
      <c r="F3" s="8">
        <v>96</v>
      </c>
      <c r="G3" s="8">
        <v>0</v>
      </c>
      <c r="H3" s="8">
        <v>0</v>
      </c>
      <c r="I3" s="8">
        <v>0</v>
      </c>
      <c r="J3" s="8" t="s">
        <v>153</v>
      </c>
      <c r="K3" s="10" t="s">
        <v>153</v>
      </c>
      <c r="L3" s="10" t="s">
        <v>153</v>
      </c>
      <c r="M3" s="10" t="s">
        <v>153</v>
      </c>
      <c r="N3" s="10" t="s">
        <v>153</v>
      </c>
      <c r="O3" s="10" t="s">
        <v>153</v>
      </c>
      <c r="P3" s="10" t="s">
        <v>153</v>
      </c>
      <c r="Q3" s="10" t="s">
        <v>153</v>
      </c>
      <c r="R3" s="10" t="s">
        <v>153</v>
      </c>
      <c r="S3" s="10" t="s">
        <v>153</v>
      </c>
      <c r="T3" s="10" t="s">
        <v>153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1193</v>
      </c>
      <c r="AC3" s="10" t="s">
        <v>153</v>
      </c>
      <c r="AD3" s="10" t="s">
        <v>153</v>
      </c>
      <c r="AE3" s="10" t="s">
        <v>153</v>
      </c>
      <c r="AF3" s="10" t="s">
        <v>153</v>
      </c>
      <c r="AG3" s="10" t="s">
        <v>153</v>
      </c>
      <c r="AH3" s="10" t="s">
        <v>153</v>
      </c>
      <c r="AI3" s="10" t="s">
        <v>153</v>
      </c>
      <c r="AJ3" s="10" t="s">
        <v>153</v>
      </c>
      <c r="AK3" s="10" t="s">
        <v>153</v>
      </c>
      <c r="AL3" s="10" t="s">
        <v>153</v>
      </c>
      <c r="AM3" s="10" t="s">
        <v>153</v>
      </c>
      <c r="AN3" s="10" t="s">
        <v>153</v>
      </c>
      <c r="AO3" s="10" t="s">
        <v>153</v>
      </c>
      <c r="AP3" s="10" t="s">
        <v>153</v>
      </c>
      <c r="AQ3" s="10" t="s">
        <v>153</v>
      </c>
      <c r="AR3" s="10" t="s">
        <v>153</v>
      </c>
      <c r="AS3" s="10" t="s">
        <v>153</v>
      </c>
      <c r="AT3" s="10" t="s">
        <v>153</v>
      </c>
      <c r="AU3" s="10" t="s">
        <v>153</v>
      </c>
      <c r="AV3" s="10" t="s">
        <v>153</v>
      </c>
      <c r="AW3" s="10" t="s">
        <v>153</v>
      </c>
      <c r="AX3" s="10" t="s">
        <v>153</v>
      </c>
      <c r="AY3" s="10" t="s">
        <v>153</v>
      </c>
      <c r="AZ3" s="10" t="s">
        <v>153</v>
      </c>
      <c r="BA3" s="10" t="s">
        <v>153</v>
      </c>
      <c r="BB3" s="10" t="s">
        <v>153</v>
      </c>
      <c r="BC3" s="10" t="s">
        <v>153</v>
      </c>
      <c r="BD3" s="10" t="s">
        <v>153</v>
      </c>
      <c r="BE3" s="10" t="s">
        <v>153</v>
      </c>
      <c r="BF3" s="10" t="s">
        <v>153</v>
      </c>
      <c r="BG3" s="10" t="s">
        <v>153</v>
      </c>
      <c r="BH3" s="10" t="s">
        <v>153</v>
      </c>
      <c r="BI3" s="10" t="s">
        <v>153</v>
      </c>
      <c r="BJ3" s="10" t="s">
        <v>153</v>
      </c>
      <c r="BK3" s="10" t="s">
        <v>153</v>
      </c>
      <c r="BL3" s="10" t="s">
        <v>153</v>
      </c>
      <c r="BM3" s="10">
        <v>3</v>
      </c>
      <c r="BN3" s="10">
        <v>0</v>
      </c>
    </row>
    <row r="4" spans="1:66" ht="18" customHeight="1" x14ac:dyDescent="0.15">
      <c r="A4" s="8">
        <v>23</v>
      </c>
      <c r="B4" s="9" t="s">
        <v>154</v>
      </c>
      <c r="C4" s="10" t="s">
        <v>152</v>
      </c>
      <c r="D4" s="8">
        <v>2</v>
      </c>
      <c r="E4" s="8">
        <v>191</v>
      </c>
      <c r="F4" s="8">
        <v>96</v>
      </c>
      <c r="G4" s="8">
        <v>0</v>
      </c>
      <c r="H4" s="8">
        <v>0</v>
      </c>
      <c r="I4" s="8">
        <v>0</v>
      </c>
      <c r="J4" s="8" t="s">
        <v>153</v>
      </c>
      <c r="K4" s="10" t="s">
        <v>153</v>
      </c>
      <c r="L4" s="10" t="s">
        <v>153</v>
      </c>
      <c r="M4" s="10" t="s">
        <v>153</v>
      </c>
      <c r="N4" s="10" t="s">
        <v>153</v>
      </c>
      <c r="O4" s="10" t="s">
        <v>153</v>
      </c>
      <c r="P4" s="10" t="s">
        <v>153</v>
      </c>
      <c r="Q4" s="10" t="s">
        <v>153</v>
      </c>
      <c r="R4" s="10" t="s">
        <v>153</v>
      </c>
      <c r="S4" s="10" t="s">
        <v>153</v>
      </c>
      <c r="T4" s="10" t="s">
        <v>153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1968</v>
      </c>
      <c r="AC4" s="10" t="s">
        <v>153</v>
      </c>
      <c r="AD4" s="10" t="s">
        <v>153</v>
      </c>
      <c r="AE4" s="10" t="s">
        <v>153</v>
      </c>
      <c r="AF4" s="10" t="s">
        <v>153</v>
      </c>
      <c r="AG4" s="10" t="s">
        <v>153</v>
      </c>
      <c r="AH4" s="10" t="s">
        <v>153</v>
      </c>
      <c r="AI4" s="10" t="s">
        <v>153</v>
      </c>
      <c r="AJ4" s="10" t="s">
        <v>153</v>
      </c>
      <c r="AK4" s="10" t="s">
        <v>153</v>
      </c>
      <c r="AL4" s="10" t="s">
        <v>153</v>
      </c>
      <c r="AM4" s="10" t="s">
        <v>153</v>
      </c>
      <c r="AN4" s="10" t="s">
        <v>153</v>
      </c>
      <c r="AO4" s="10" t="s">
        <v>153</v>
      </c>
      <c r="AP4" s="10" t="s">
        <v>153</v>
      </c>
      <c r="AQ4" s="10" t="s">
        <v>153</v>
      </c>
      <c r="AR4" s="10" t="s">
        <v>153</v>
      </c>
      <c r="AS4" s="10" t="s">
        <v>153</v>
      </c>
      <c r="AT4" s="10" t="s">
        <v>153</v>
      </c>
      <c r="AU4" s="10" t="s">
        <v>153</v>
      </c>
      <c r="AV4" s="10" t="s">
        <v>153</v>
      </c>
      <c r="AW4" s="10" t="s">
        <v>153</v>
      </c>
      <c r="AX4" s="10" t="s">
        <v>153</v>
      </c>
      <c r="AY4" s="10" t="s">
        <v>153</v>
      </c>
      <c r="AZ4" s="10" t="s">
        <v>153</v>
      </c>
      <c r="BA4" s="10" t="s">
        <v>153</v>
      </c>
      <c r="BB4" s="10" t="s">
        <v>153</v>
      </c>
      <c r="BC4" s="10" t="s">
        <v>153</v>
      </c>
      <c r="BD4" s="10" t="s">
        <v>153</v>
      </c>
      <c r="BE4" s="10" t="s">
        <v>153</v>
      </c>
      <c r="BF4" s="10" t="s">
        <v>153</v>
      </c>
      <c r="BG4" s="10" t="s">
        <v>153</v>
      </c>
      <c r="BH4" s="10" t="s">
        <v>153</v>
      </c>
      <c r="BI4" s="10" t="s">
        <v>153</v>
      </c>
      <c r="BJ4" s="10" t="s">
        <v>153</v>
      </c>
      <c r="BK4" s="10" t="s">
        <v>153</v>
      </c>
      <c r="BL4" s="10" t="s">
        <v>153</v>
      </c>
      <c r="BM4" s="10" t="s">
        <v>153</v>
      </c>
      <c r="BN4" s="10" t="s">
        <v>153</v>
      </c>
    </row>
    <row r="5" spans="1:66" ht="18" customHeight="1" x14ac:dyDescent="0.15">
      <c r="A5" s="11">
        <v>5</v>
      </c>
      <c r="B5" s="12" t="s">
        <v>155</v>
      </c>
      <c r="C5" s="13" t="s">
        <v>156</v>
      </c>
      <c r="D5" s="11">
        <v>10</v>
      </c>
      <c r="E5" s="11">
        <v>881</v>
      </c>
      <c r="F5" s="11">
        <v>88</v>
      </c>
      <c r="G5" s="11">
        <v>1</v>
      </c>
      <c r="H5" s="11">
        <v>1.33</v>
      </c>
      <c r="I5" s="11">
        <v>0</v>
      </c>
      <c r="J5" s="11">
        <v>0.45</v>
      </c>
      <c r="K5" s="13" t="s">
        <v>157</v>
      </c>
      <c r="L5" s="13">
        <v>40</v>
      </c>
      <c r="M5" s="13" t="s">
        <v>158</v>
      </c>
      <c r="N5" s="13">
        <v>73</v>
      </c>
      <c r="O5" s="13" t="s">
        <v>159</v>
      </c>
      <c r="P5" s="13">
        <v>12</v>
      </c>
      <c r="Q5" s="13" t="s">
        <v>160</v>
      </c>
      <c r="R5" s="13">
        <v>50</v>
      </c>
      <c r="S5" s="13" t="s">
        <v>161</v>
      </c>
      <c r="T5" s="13">
        <v>60</v>
      </c>
      <c r="U5" s="11">
        <v>93</v>
      </c>
      <c r="V5" s="11">
        <v>22</v>
      </c>
      <c r="W5" s="11">
        <v>81</v>
      </c>
      <c r="X5" s="11">
        <v>25</v>
      </c>
      <c r="Y5" s="11">
        <v>10</v>
      </c>
      <c r="Z5" s="11">
        <v>0</v>
      </c>
      <c r="AA5" s="11">
        <v>0</v>
      </c>
      <c r="AB5" s="11">
        <v>1315</v>
      </c>
      <c r="AC5" s="13" t="s">
        <v>162</v>
      </c>
      <c r="AD5" s="13" t="s">
        <v>163</v>
      </c>
      <c r="AE5" s="13" t="s">
        <v>164</v>
      </c>
      <c r="AF5" s="13" t="s">
        <v>165</v>
      </c>
      <c r="AG5" s="13" t="s">
        <v>166</v>
      </c>
      <c r="AH5" s="13" t="s">
        <v>167</v>
      </c>
      <c r="AI5" s="13" t="s">
        <v>168</v>
      </c>
      <c r="AJ5" s="13" t="s">
        <v>169</v>
      </c>
      <c r="AK5" s="13">
        <v>4</v>
      </c>
      <c r="AL5" s="13" t="s">
        <v>170</v>
      </c>
      <c r="AM5" s="13" t="s">
        <v>171</v>
      </c>
      <c r="AN5" s="13" t="s">
        <v>171</v>
      </c>
      <c r="AO5" s="13" t="s">
        <v>153</v>
      </c>
      <c r="AP5" s="13" t="s">
        <v>153</v>
      </c>
      <c r="AQ5" s="13" t="s">
        <v>153</v>
      </c>
      <c r="AR5" s="13">
        <v>129</v>
      </c>
      <c r="AS5" s="13" t="s">
        <v>172</v>
      </c>
      <c r="AT5" s="13">
        <v>67</v>
      </c>
      <c r="AU5" s="13" t="s">
        <v>173</v>
      </c>
      <c r="AV5" s="13">
        <v>94</v>
      </c>
      <c r="AW5" s="13" t="s">
        <v>174</v>
      </c>
      <c r="AX5" s="13">
        <v>63</v>
      </c>
      <c r="AY5" s="13" t="s">
        <v>175</v>
      </c>
      <c r="AZ5" s="13">
        <v>81</v>
      </c>
      <c r="BA5" s="13" t="s">
        <v>176</v>
      </c>
      <c r="BB5" s="13">
        <v>47</v>
      </c>
      <c r="BC5" s="13" t="s">
        <v>177</v>
      </c>
      <c r="BD5" s="13">
        <v>66</v>
      </c>
      <c r="BE5" s="13" t="s">
        <v>178</v>
      </c>
      <c r="BF5" s="13">
        <v>58</v>
      </c>
      <c r="BG5" s="13" t="s">
        <v>171</v>
      </c>
      <c r="BH5" s="13">
        <v>50</v>
      </c>
      <c r="BI5" s="13">
        <v>1</v>
      </c>
      <c r="BJ5" s="13">
        <v>1</v>
      </c>
      <c r="BK5" s="13" t="s">
        <v>179</v>
      </c>
      <c r="BL5" s="13">
        <v>3</v>
      </c>
      <c r="BM5" s="13" t="s">
        <v>153</v>
      </c>
      <c r="BN5" s="13" t="s">
        <v>153</v>
      </c>
    </row>
    <row r="6" spans="1:66" ht="18" customHeight="1" x14ac:dyDescent="0.15">
      <c r="A6" s="11">
        <v>7</v>
      </c>
      <c r="B6" s="12" t="s">
        <v>180</v>
      </c>
      <c r="C6" s="13" t="s">
        <v>156</v>
      </c>
      <c r="D6" s="11">
        <v>10</v>
      </c>
      <c r="E6" s="11">
        <v>782</v>
      </c>
      <c r="F6" s="11">
        <v>78</v>
      </c>
      <c r="G6" s="11">
        <v>4</v>
      </c>
      <c r="H6" s="11">
        <v>3.33</v>
      </c>
      <c r="I6" s="11">
        <v>3</v>
      </c>
      <c r="J6" s="11">
        <v>0.54</v>
      </c>
      <c r="K6" s="13" t="s">
        <v>181</v>
      </c>
      <c r="L6" s="13">
        <v>41</v>
      </c>
      <c r="M6" s="13" t="s">
        <v>182</v>
      </c>
      <c r="N6" s="13">
        <v>70</v>
      </c>
      <c r="O6" s="13" t="s">
        <v>183</v>
      </c>
      <c r="P6" s="13">
        <v>17</v>
      </c>
      <c r="Q6" s="13" t="s">
        <v>184</v>
      </c>
      <c r="R6" s="13">
        <v>52</v>
      </c>
      <c r="S6" s="13" t="s">
        <v>185</v>
      </c>
      <c r="T6" s="13">
        <v>48</v>
      </c>
      <c r="U6" s="11">
        <v>130</v>
      </c>
      <c r="V6" s="11">
        <v>25</v>
      </c>
      <c r="W6" s="11">
        <v>50</v>
      </c>
      <c r="X6" s="11">
        <v>31</v>
      </c>
      <c r="Y6" s="11">
        <v>37</v>
      </c>
      <c r="Z6" s="11">
        <v>1</v>
      </c>
      <c r="AA6" s="11">
        <v>0</v>
      </c>
      <c r="AB6" s="11">
        <v>1402</v>
      </c>
      <c r="AC6" s="13" t="s">
        <v>186</v>
      </c>
      <c r="AD6" s="13" t="s">
        <v>187</v>
      </c>
      <c r="AE6" s="13" t="s">
        <v>188</v>
      </c>
      <c r="AF6" s="13" t="s">
        <v>189</v>
      </c>
      <c r="AG6" s="13" t="s">
        <v>190</v>
      </c>
      <c r="AH6" s="13" t="s">
        <v>167</v>
      </c>
      <c r="AI6" s="13" t="s">
        <v>191</v>
      </c>
      <c r="AJ6" s="13" t="s">
        <v>192</v>
      </c>
      <c r="AK6" s="13" t="s">
        <v>153</v>
      </c>
      <c r="AL6" s="13" t="s">
        <v>193</v>
      </c>
      <c r="AM6" s="13" t="s">
        <v>194</v>
      </c>
      <c r="AN6" s="13" t="s">
        <v>195</v>
      </c>
      <c r="AO6" s="13" t="s">
        <v>153</v>
      </c>
      <c r="AP6" s="13" t="s">
        <v>153</v>
      </c>
      <c r="AQ6" s="13" t="s">
        <v>153</v>
      </c>
      <c r="AR6" s="13">
        <v>10</v>
      </c>
      <c r="AS6" s="13" t="s">
        <v>196</v>
      </c>
      <c r="AT6" s="13">
        <v>68</v>
      </c>
      <c r="AU6" s="13" t="s">
        <v>197</v>
      </c>
      <c r="AV6" s="13">
        <v>89</v>
      </c>
      <c r="AW6" s="13" t="s">
        <v>198</v>
      </c>
      <c r="AX6" s="13">
        <v>62</v>
      </c>
      <c r="AY6" s="13" t="s">
        <v>199</v>
      </c>
      <c r="AZ6" s="13">
        <v>79</v>
      </c>
      <c r="BA6" s="13" t="s">
        <v>200</v>
      </c>
      <c r="BB6" s="13">
        <v>49</v>
      </c>
      <c r="BC6" s="13" t="s">
        <v>201</v>
      </c>
      <c r="BD6" s="13">
        <v>70</v>
      </c>
      <c r="BE6" s="13" t="s">
        <v>202</v>
      </c>
      <c r="BF6" s="13">
        <v>60</v>
      </c>
      <c r="BG6" s="13" t="s">
        <v>203</v>
      </c>
      <c r="BH6" s="13">
        <v>50</v>
      </c>
      <c r="BI6" s="13">
        <v>11</v>
      </c>
      <c r="BJ6" s="13">
        <v>5</v>
      </c>
      <c r="BK6" s="13" t="s">
        <v>204</v>
      </c>
      <c r="BL6" s="13">
        <v>8</v>
      </c>
      <c r="BM6" s="13" t="s">
        <v>153</v>
      </c>
      <c r="BN6" s="13" t="s">
        <v>153</v>
      </c>
    </row>
    <row r="7" spans="1:66" ht="18" customHeight="1" x14ac:dyDescent="0.15">
      <c r="A7" s="11">
        <v>14</v>
      </c>
      <c r="B7" s="12" t="s">
        <v>205</v>
      </c>
      <c r="C7" s="13" t="s">
        <v>156</v>
      </c>
      <c r="D7" s="11">
        <v>5</v>
      </c>
      <c r="E7" s="11">
        <v>185</v>
      </c>
      <c r="F7" s="11">
        <v>37</v>
      </c>
      <c r="G7" s="11">
        <v>0</v>
      </c>
      <c r="H7" s="11">
        <v>0</v>
      </c>
      <c r="I7" s="11">
        <v>1</v>
      </c>
      <c r="J7" s="11">
        <v>0.03</v>
      </c>
      <c r="K7" s="13" t="s">
        <v>206</v>
      </c>
      <c r="L7" s="13">
        <v>0</v>
      </c>
      <c r="M7" s="13" t="s">
        <v>207</v>
      </c>
      <c r="N7" s="13">
        <v>76</v>
      </c>
      <c r="O7" s="13" t="s">
        <v>208</v>
      </c>
      <c r="P7" s="13">
        <v>0</v>
      </c>
      <c r="Q7" s="13" t="s">
        <v>206</v>
      </c>
      <c r="R7" s="13">
        <v>0</v>
      </c>
      <c r="S7" s="13" t="s">
        <v>209</v>
      </c>
      <c r="T7" s="13">
        <v>47</v>
      </c>
      <c r="U7" s="11">
        <v>32</v>
      </c>
      <c r="V7" s="11">
        <v>6</v>
      </c>
      <c r="W7" s="11">
        <v>25</v>
      </c>
      <c r="X7" s="11">
        <v>17</v>
      </c>
      <c r="Y7" s="11">
        <v>2</v>
      </c>
      <c r="Z7" s="11">
        <v>0</v>
      </c>
      <c r="AA7" s="11">
        <v>0</v>
      </c>
      <c r="AB7" s="11">
        <v>1674</v>
      </c>
      <c r="AC7" s="13" t="s">
        <v>210</v>
      </c>
      <c r="AD7" s="13" t="s">
        <v>211</v>
      </c>
      <c r="AE7" s="13" t="s">
        <v>212</v>
      </c>
      <c r="AF7" s="13" t="s">
        <v>213</v>
      </c>
      <c r="AG7" s="13" t="s">
        <v>212</v>
      </c>
      <c r="AH7" s="13" t="s">
        <v>213</v>
      </c>
      <c r="AI7" s="13" t="s">
        <v>212</v>
      </c>
      <c r="AJ7" s="13" t="s">
        <v>213</v>
      </c>
      <c r="AK7" s="13" t="s">
        <v>153</v>
      </c>
      <c r="AL7" s="13" t="s">
        <v>214</v>
      </c>
      <c r="AM7" s="13" t="s">
        <v>153</v>
      </c>
      <c r="AN7" s="13" t="s">
        <v>212</v>
      </c>
      <c r="AO7" s="13" t="s">
        <v>153</v>
      </c>
      <c r="AP7" s="13" t="s">
        <v>153</v>
      </c>
      <c r="AQ7" s="13" t="s">
        <v>153</v>
      </c>
      <c r="AR7" s="13">
        <v>22</v>
      </c>
      <c r="AS7" s="13" t="s">
        <v>215</v>
      </c>
      <c r="AT7" s="13">
        <v>74</v>
      </c>
      <c r="AU7" s="13" t="s">
        <v>216</v>
      </c>
      <c r="AV7" s="13">
        <v>100</v>
      </c>
      <c r="AW7" s="13" t="s">
        <v>217</v>
      </c>
      <c r="AX7" s="13">
        <v>79</v>
      </c>
      <c r="AY7" s="13" t="s">
        <v>218</v>
      </c>
      <c r="AZ7" s="13">
        <v>80</v>
      </c>
      <c r="BA7" s="13" t="s">
        <v>219</v>
      </c>
      <c r="BB7" s="13">
        <v>60</v>
      </c>
      <c r="BC7" s="13" t="s">
        <v>220</v>
      </c>
      <c r="BD7" s="13">
        <v>93</v>
      </c>
      <c r="BE7" s="13" t="s">
        <v>221</v>
      </c>
      <c r="BF7" s="13">
        <v>71</v>
      </c>
      <c r="BG7" s="13" t="s">
        <v>212</v>
      </c>
      <c r="BH7" s="13">
        <v>0</v>
      </c>
      <c r="BI7" s="13">
        <v>1</v>
      </c>
      <c r="BJ7" s="13">
        <v>1</v>
      </c>
      <c r="BK7" s="13" t="s">
        <v>204</v>
      </c>
      <c r="BL7" s="13">
        <v>1</v>
      </c>
      <c r="BM7" s="13" t="s">
        <v>153</v>
      </c>
      <c r="BN7" s="13" t="s">
        <v>153</v>
      </c>
    </row>
    <row r="8" spans="1:66" ht="18" customHeight="1" x14ac:dyDescent="0.15">
      <c r="A8" s="11">
        <v>16</v>
      </c>
      <c r="B8" s="12" t="s">
        <v>222</v>
      </c>
      <c r="C8" s="13" t="s">
        <v>156</v>
      </c>
      <c r="D8" s="11">
        <v>10</v>
      </c>
      <c r="E8" s="11">
        <v>273</v>
      </c>
      <c r="F8" s="11">
        <v>27</v>
      </c>
      <c r="G8" s="11">
        <v>0</v>
      </c>
      <c r="H8" s="11">
        <v>0.45</v>
      </c>
      <c r="I8" s="11">
        <v>1</v>
      </c>
      <c r="J8" s="11">
        <v>0.7</v>
      </c>
      <c r="K8" s="13" t="s">
        <v>223</v>
      </c>
      <c r="L8" s="13">
        <v>33</v>
      </c>
      <c r="M8" s="13" t="s">
        <v>224</v>
      </c>
      <c r="N8" s="13">
        <v>58</v>
      </c>
      <c r="O8" s="13" t="s">
        <v>225</v>
      </c>
      <c r="P8" s="13">
        <v>29</v>
      </c>
      <c r="Q8" s="13" t="s">
        <v>226</v>
      </c>
      <c r="R8" s="13">
        <v>71</v>
      </c>
      <c r="S8" s="13" t="s">
        <v>227</v>
      </c>
      <c r="T8" s="13">
        <v>58</v>
      </c>
      <c r="U8" s="11">
        <v>59</v>
      </c>
      <c r="V8" s="11">
        <v>9</v>
      </c>
      <c r="W8" s="11">
        <v>20</v>
      </c>
      <c r="X8" s="11">
        <v>15</v>
      </c>
      <c r="Y8" s="11">
        <v>20</v>
      </c>
      <c r="Z8" s="11">
        <v>1</v>
      </c>
      <c r="AA8" s="11">
        <v>0</v>
      </c>
      <c r="AB8" s="11">
        <v>1413</v>
      </c>
      <c r="AC8" s="13" t="s">
        <v>228</v>
      </c>
      <c r="AD8" s="13" t="s">
        <v>229</v>
      </c>
      <c r="AE8" s="13" t="s">
        <v>230</v>
      </c>
      <c r="AF8" s="13" t="s">
        <v>231</v>
      </c>
      <c r="AG8" s="13" t="s">
        <v>232</v>
      </c>
      <c r="AH8" s="13" t="s">
        <v>233</v>
      </c>
      <c r="AI8" s="13" t="s">
        <v>234</v>
      </c>
      <c r="AJ8" s="13" t="s">
        <v>213</v>
      </c>
      <c r="AK8" s="13" t="s">
        <v>153</v>
      </c>
      <c r="AL8" s="13" t="s">
        <v>235</v>
      </c>
      <c r="AM8" s="13" t="s">
        <v>236</v>
      </c>
      <c r="AN8" s="13" t="s">
        <v>237</v>
      </c>
      <c r="AO8" s="13" t="s">
        <v>153</v>
      </c>
      <c r="AP8" s="13" t="s">
        <v>153</v>
      </c>
      <c r="AQ8" s="13" t="s">
        <v>238</v>
      </c>
      <c r="AR8" s="13">
        <v>5</v>
      </c>
      <c r="AS8" s="13" t="s">
        <v>239</v>
      </c>
      <c r="AT8" s="13">
        <v>50</v>
      </c>
      <c r="AU8" s="13" t="s">
        <v>240</v>
      </c>
      <c r="AV8" s="13">
        <v>83</v>
      </c>
      <c r="AW8" s="13" t="s">
        <v>241</v>
      </c>
      <c r="AX8" s="13">
        <v>46</v>
      </c>
      <c r="AY8" s="13" t="s">
        <v>242</v>
      </c>
      <c r="AZ8" s="13">
        <v>67</v>
      </c>
      <c r="BA8" s="13" t="s">
        <v>243</v>
      </c>
      <c r="BB8" s="13">
        <v>38</v>
      </c>
      <c r="BC8" s="13" t="s">
        <v>244</v>
      </c>
      <c r="BD8" s="13">
        <v>74</v>
      </c>
      <c r="BE8" s="13" t="s">
        <v>245</v>
      </c>
      <c r="BF8" s="13">
        <v>33</v>
      </c>
      <c r="BG8" s="13" t="s">
        <v>212</v>
      </c>
      <c r="BH8" s="13">
        <v>0</v>
      </c>
      <c r="BI8" s="13">
        <v>7</v>
      </c>
      <c r="BJ8" s="13">
        <v>2</v>
      </c>
      <c r="BK8" s="13" t="s">
        <v>179</v>
      </c>
      <c r="BL8" s="13">
        <v>8</v>
      </c>
      <c r="BM8" s="13" t="s">
        <v>153</v>
      </c>
      <c r="BN8" s="13" t="s">
        <v>153</v>
      </c>
    </row>
    <row r="9" spans="1:66" ht="18" customHeight="1" x14ac:dyDescent="0.15">
      <c r="A9" s="11">
        <v>17</v>
      </c>
      <c r="B9" s="12" t="s">
        <v>246</v>
      </c>
      <c r="C9" s="13" t="s">
        <v>156</v>
      </c>
      <c r="D9" s="11">
        <v>10</v>
      </c>
      <c r="E9" s="11">
        <v>957</v>
      </c>
      <c r="F9" s="11">
        <v>96</v>
      </c>
      <c r="G9" s="11">
        <v>1</v>
      </c>
      <c r="H9" s="11">
        <v>0.88</v>
      </c>
      <c r="I9" s="11">
        <v>2</v>
      </c>
      <c r="J9" s="11">
        <v>1.08</v>
      </c>
      <c r="K9" s="13" t="s">
        <v>247</v>
      </c>
      <c r="L9" s="13">
        <v>57</v>
      </c>
      <c r="M9" s="13" t="s">
        <v>248</v>
      </c>
      <c r="N9" s="13">
        <v>87</v>
      </c>
      <c r="O9" s="13" t="s">
        <v>249</v>
      </c>
      <c r="P9" s="13">
        <v>0</v>
      </c>
      <c r="Q9" s="13" t="s">
        <v>208</v>
      </c>
      <c r="R9" s="13">
        <v>0</v>
      </c>
      <c r="S9" s="13" t="s">
        <v>250</v>
      </c>
      <c r="T9" s="13">
        <v>59</v>
      </c>
      <c r="U9" s="11">
        <v>74</v>
      </c>
      <c r="V9" s="11">
        <v>35</v>
      </c>
      <c r="W9" s="11">
        <v>108</v>
      </c>
      <c r="X9" s="11">
        <v>21</v>
      </c>
      <c r="Y9" s="11">
        <v>4</v>
      </c>
      <c r="Z9" s="11">
        <v>0</v>
      </c>
      <c r="AA9" s="11">
        <v>0</v>
      </c>
      <c r="AB9" s="11">
        <v>1785</v>
      </c>
      <c r="AC9" s="13" t="s">
        <v>251</v>
      </c>
      <c r="AD9" s="13" t="s">
        <v>252</v>
      </c>
      <c r="AE9" s="13" t="s">
        <v>253</v>
      </c>
      <c r="AF9" s="13" t="s">
        <v>213</v>
      </c>
      <c r="AG9" s="13" t="s">
        <v>203</v>
      </c>
      <c r="AH9" s="13" t="s">
        <v>231</v>
      </c>
      <c r="AI9" s="13" t="s">
        <v>203</v>
      </c>
      <c r="AJ9" s="13" t="s">
        <v>231</v>
      </c>
      <c r="AK9" s="13">
        <v>3</v>
      </c>
      <c r="AL9" s="13" t="s">
        <v>254</v>
      </c>
      <c r="AM9" s="13" t="s">
        <v>153</v>
      </c>
      <c r="AN9" s="13" t="s">
        <v>212</v>
      </c>
      <c r="AO9" s="13">
        <v>17</v>
      </c>
      <c r="AP9" s="13">
        <v>3</v>
      </c>
      <c r="AQ9" s="13" t="s">
        <v>153</v>
      </c>
      <c r="AR9" s="13">
        <v>1</v>
      </c>
      <c r="AS9" s="13" t="s">
        <v>255</v>
      </c>
      <c r="AT9" s="13">
        <v>75</v>
      </c>
      <c r="AU9" s="13" t="s">
        <v>256</v>
      </c>
      <c r="AV9" s="13">
        <v>97</v>
      </c>
      <c r="AW9" s="13" t="s">
        <v>257</v>
      </c>
      <c r="AX9" s="13">
        <v>96</v>
      </c>
      <c r="AY9" s="13" t="s">
        <v>258</v>
      </c>
      <c r="AZ9" s="13">
        <v>94</v>
      </c>
      <c r="BA9" s="13" t="s">
        <v>259</v>
      </c>
      <c r="BB9" s="13">
        <v>56</v>
      </c>
      <c r="BC9" s="13" t="s">
        <v>260</v>
      </c>
      <c r="BD9" s="13">
        <v>70</v>
      </c>
      <c r="BE9" s="13" t="s">
        <v>261</v>
      </c>
      <c r="BF9" s="13">
        <v>62</v>
      </c>
      <c r="BG9" s="13" t="s">
        <v>262</v>
      </c>
      <c r="BH9" s="13">
        <v>67</v>
      </c>
      <c r="BI9" s="13">
        <v>2</v>
      </c>
      <c r="BJ9" s="13">
        <v>2</v>
      </c>
      <c r="BK9" s="13" t="s">
        <v>204</v>
      </c>
      <c r="BL9" s="13">
        <v>9</v>
      </c>
      <c r="BM9" s="13" t="s">
        <v>153</v>
      </c>
      <c r="BN9" s="13" t="s">
        <v>153</v>
      </c>
    </row>
    <row r="10" spans="1:66" ht="18" customHeight="1" x14ac:dyDescent="0.15">
      <c r="A10" s="14">
        <v>3</v>
      </c>
      <c r="B10" s="15" t="s">
        <v>263</v>
      </c>
      <c r="C10" s="16" t="s">
        <v>264</v>
      </c>
      <c r="D10" s="14">
        <v>10</v>
      </c>
      <c r="E10" s="14">
        <v>688</v>
      </c>
      <c r="F10" s="14">
        <v>69</v>
      </c>
      <c r="G10" s="14">
        <v>0</v>
      </c>
      <c r="H10" s="14">
        <v>0.68</v>
      </c>
      <c r="I10" s="14">
        <v>0</v>
      </c>
      <c r="J10" s="14">
        <v>0.36</v>
      </c>
      <c r="K10" s="16" t="s">
        <v>265</v>
      </c>
      <c r="L10" s="16">
        <v>29</v>
      </c>
      <c r="M10" s="16" t="s">
        <v>266</v>
      </c>
      <c r="N10" s="16">
        <v>76</v>
      </c>
      <c r="O10" s="16" t="s">
        <v>267</v>
      </c>
      <c r="P10" s="16">
        <v>0</v>
      </c>
      <c r="Q10" s="16" t="s">
        <v>247</v>
      </c>
      <c r="R10" s="16">
        <v>57</v>
      </c>
      <c r="S10" s="16" t="s">
        <v>268</v>
      </c>
      <c r="T10" s="16">
        <v>43</v>
      </c>
      <c r="U10" s="14">
        <v>86</v>
      </c>
      <c r="V10" s="14">
        <v>25</v>
      </c>
      <c r="W10" s="14">
        <v>73</v>
      </c>
      <c r="X10" s="14">
        <v>49</v>
      </c>
      <c r="Y10" s="14">
        <v>17</v>
      </c>
      <c r="Z10" s="14">
        <v>0</v>
      </c>
      <c r="AA10" s="14">
        <v>0</v>
      </c>
      <c r="AB10" s="14">
        <v>1267</v>
      </c>
      <c r="AC10" s="16" t="s">
        <v>269</v>
      </c>
      <c r="AD10" s="16" t="s">
        <v>211</v>
      </c>
      <c r="AE10" s="16" t="s">
        <v>270</v>
      </c>
      <c r="AF10" s="16" t="s">
        <v>271</v>
      </c>
      <c r="AG10" s="16" t="s">
        <v>272</v>
      </c>
      <c r="AH10" s="16" t="s">
        <v>273</v>
      </c>
      <c r="AI10" s="16" t="s">
        <v>274</v>
      </c>
      <c r="AJ10" s="16" t="s">
        <v>275</v>
      </c>
      <c r="AK10" s="16">
        <v>1</v>
      </c>
      <c r="AL10" s="16" t="s">
        <v>276</v>
      </c>
      <c r="AM10" s="16" t="s">
        <v>179</v>
      </c>
      <c r="AN10" s="16" t="s">
        <v>277</v>
      </c>
      <c r="AO10" s="16" t="s">
        <v>153</v>
      </c>
      <c r="AP10" s="16" t="s">
        <v>153</v>
      </c>
      <c r="AQ10" s="16" t="s">
        <v>153</v>
      </c>
      <c r="AR10" s="16">
        <v>4</v>
      </c>
      <c r="AS10" s="16" t="s">
        <v>278</v>
      </c>
      <c r="AT10" s="16">
        <v>66</v>
      </c>
      <c r="AU10" s="16" t="s">
        <v>279</v>
      </c>
      <c r="AV10" s="16">
        <v>92</v>
      </c>
      <c r="AW10" s="16" t="s">
        <v>280</v>
      </c>
      <c r="AX10" s="16">
        <v>73</v>
      </c>
      <c r="AY10" s="16" t="s">
        <v>281</v>
      </c>
      <c r="AZ10" s="16">
        <v>80</v>
      </c>
      <c r="BA10" s="16" t="s">
        <v>282</v>
      </c>
      <c r="BB10" s="16">
        <v>47</v>
      </c>
      <c r="BC10" s="16" t="s">
        <v>283</v>
      </c>
      <c r="BD10" s="16">
        <v>66</v>
      </c>
      <c r="BE10" s="16" t="s">
        <v>284</v>
      </c>
      <c r="BF10" s="16">
        <v>66</v>
      </c>
      <c r="BG10" s="16" t="s">
        <v>153</v>
      </c>
      <c r="BH10" s="16">
        <v>0</v>
      </c>
      <c r="BI10" s="16">
        <v>8</v>
      </c>
      <c r="BJ10" s="16">
        <v>3</v>
      </c>
      <c r="BK10" s="16" t="s">
        <v>179</v>
      </c>
      <c r="BL10" s="16">
        <v>8</v>
      </c>
      <c r="BM10" s="16" t="s">
        <v>153</v>
      </c>
      <c r="BN10" s="16" t="s">
        <v>153</v>
      </c>
    </row>
    <row r="11" spans="1:66" ht="18" customHeight="1" x14ac:dyDescent="0.15">
      <c r="A11" s="14">
        <v>4</v>
      </c>
      <c r="B11" s="15" t="s">
        <v>285</v>
      </c>
      <c r="C11" s="16" t="s">
        <v>264</v>
      </c>
      <c r="D11" s="14">
        <v>4</v>
      </c>
      <c r="E11" s="14">
        <v>315</v>
      </c>
      <c r="F11" s="14">
        <v>79</v>
      </c>
      <c r="G11" s="14">
        <v>1</v>
      </c>
      <c r="H11" s="14">
        <v>0.33</v>
      </c>
      <c r="I11" s="14">
        <v>0</v>
      </c>
      <c r="J11" s="14">
        <v>1.17</v>
      </c>
      <c r="K11" s="16" t="s">
        <v>286</v>
      </c>
      <c r="L11" s="16">
        <v>75</v>
      </c>
      <c r="M11" s="16" t="s">
        <v>287</v>
      </c>
      <c r="N11" s="16">
        <v>82</v>
      </c>
      <c r="O11" s="16" t="s">
        <v>288</v>
      </c>
      <c r="P11" s="16">
        <v>50</v>
      </c>
      <c r="Q11" s="16" t="s">
        <v>289</v>
      </c>
      <c r="R11" s="16">
        <v>83</v>
      </c>
      <c r="S11" s="16" t="s">
        <v>290</v>
      </c>
      <c r="T11" s="16">
        <v>60</v>
      </c>
      <c r="U11" s="14">
        <v>34</v>
      </c>
      <c r="V11" s="14">
        <v>10</v>
      </c>
      <c r="W11" s="14">
        <v>54</v>
      </c>
      <c r="X11" s="14">
        <v>34</v>
      </c>
      <c r="Y11" s="14">
        <v>7</v>
      </c>
      <c r="Z11" s="14">
        <v>1</v>
      </c>
      <c r="AA11" s="14">
        <v>0</v>
      </c>
      <c r="AB11" s="14">
        <v>1317</v>
      </c>
      <c r="AC11" s="16" t="s">
        <v>291</v>
      </c>
      <c r="AD11" s="16" t="s">
        <v>292</v>
      </c>
      <c r="AE11" s="16" t="s">
        <v>293</v>
      </c>
      <c r="AF11" s="16" t="s">
        <v>231</v>
      </c>
      <c r="AG11" s="16" t="s">
        <v>294</v>
      </c>
      <c r="AH11" s="16" t="s">
        <v>295</v>
      </c>
      <c r="AI11" s="16" t="s">
        <v>166</v>
      </c>
      <c r="AJ11" s="16" t="s">
        <v>167</v>
      </c>
      <c r="AK11" s="16" t="s">
        <v>153</v>
      </c>
      <c r="AL11" s="16" t="s">
        <v>296</v>
      </c>
      <c r="AM11" s="16" t="s">
        <v>297</v>
      </c>
      <c r="AN11" s="16" t="s">
        <v>298</v>
      </c>
      <c r="AO11" s="16" t="s">
        <v>153</v>
      </c>
      <c r="AP11" s="16" t="s">
        <v>153</v>
      </c>
      <c r="AQ11" s="16" t="s">
        <v>153</v>
      </c>
      <c r="AR11" s="16">
        <v>1</v>
      </c>
      <c r="AS11" s="16" t="s">
        <v>299</v>
      </c>
      <c r="AT11" s="16">
        <v>69</v>
      </c>
      <c r="AU11" s="16" t="s">
        <v>300</v>
      </c>
      <c r="AV11" s="16">
        <v>94</v>
      </c>
      <c r="AW11" s="16" t="s">
        <v>301</v>
      </c>
      <c r="AX11" s="16">
        <v>88</v>
      </c>
      <c r="AY11" s="16" t="s">
        <v>302</v>
      </c>
      <c r="AZ11" s="16">
        <v>85</v>
      </c>
      <c r="BA11" s="16" t="s">
        <v>303</v>
      </c>
      <c r="BB11" s="16">
        <v>29</v>
      </c>
      <c r="BC11" s="16" t="s">
        <v>304</v>
      </c>
      <c r="BD11" s="16">
        <v>75</v>
      </c>
      <c r="BE11" s="16" t="s">
        <v>305</v>
      </c>
      <c r="BF11" s="16">
        <v>71</v>
      </c>
      <c r="BG11" s="16" t="s">
        <v>171</v>
      </c>
      <c r="BH11" s="16">
        <v>50</v>
      </c>
      <c r="BI11" s="16">
        <v>5</v>
      </c>
      <c r="BJ11" s="16">
        <v>3</v>
      </c>
      <c r="BK11" s="16" t="s">
        <v>153</v>
      </c>
      <c r="BL11" s="16">
        <v>4</v>
      </c>
      <c r="BM11" s="16" t="s">
        <v>153</v>
      </c>
      <c r="BN11" s="16" t="s">
        <v>153</v>
      </c>
    </row>
    <row r="12" spans="1:66" ht="18" customHeight="1" x14ac:dyDescent="0.15">
      <c r="A12" s="14">
        <v>8</v>
      </c>
      <c r="B12" s="15" t="s">
        <v>306</v>
      </c>
      <c r="C12" s="16" t="s">
        <v>264</v>
      </c>
      <c r="D12" s="14">
        <v>7</v>
      </c>
      <c r="E12" s="14">
        <v>596</v>
      </c>
      <c r="F12" s="14">
        <v>85</v>
      </c>
      <c r="G12" s="14">
        <v>2</v>
      </c>
      <c r="H12" s="14">
        <v>1.04</v>
      </c>
      <c r="I12" s="14">
        <v>2</v>
      </c>
      <c r="J12" s="14">
        <v>1.74</v>
      </c>
      <c r="K12" s="16" t="s">
        <v>307</v>
      </c>
      <c r="L12" s="16">
        <v>54</v>
      </c>
      <c r="M12" s="16" t="s">
        <v>308</v>
      </c>
      <c r="N12" s="16">
        <v>74</v>
      </c>
      <c r="O12" s="16" t="s">
        <v>309</v>
      </c>
      <c r="P12" s="16">
        <v>50</v>
      </c>
      <c r="Q12" s="16" t="s">
        <v>309</v>
      </c>
      <c r="R12" s="16">
        <v>50</v>
      </c>
      <c r="S12" s="16" t="s">
        <v>310</v>
      </c>
      <c r="T12" s="16">
        <v>53</v>
      </c>
      <c r="U12" s="14">
        <v>63</v>
      </c>
      <c r="V12" s="14">
        <v>6</v>
      </c>
      <c r="W12" s="14">
        <v>39</v>
      </c>
      <c r="X12" s="14">
        <v>27</v>
      </c>
      <c r="Y12" s="14">
        <v>29</v>
      </c>
      <c r="Z12" s="14">
        <v>0</v>
      </c>
      <c r="AA12" s="14">
        <v>0</v>
      </c>
      <c r="AB12" s="14">
        <v>1465</v>
      </c>
      <c r="AC12" s="16" t="s">
        <v>311</v>
      </c>
      <c r="AD12" s="16" t="s">
        <v>312</v>
      </c>
      <c r="AE12" s="16" t="s">
        <v>313</v>
      </c>
      <c r="AF12" s="16" t="s">
        <v>189</v>
      </c>
      <c r="AG12" s="16" t="s">
        <v>314</v>
      </c>
      <c r="AH12" s="16" t="s">
        <v>315</v>
      </c>
      <c r="AI12" s="16" t="s">
        <v>316</v>
      </c>
      <c r="AJ12" s="16" t="s">
        <v>317</v>
      </c>
      <c r="AK12" s="16" t="s">
        <v>153</v>
      </c>
      <c r="AL12" s="16" t="s">
        <v>318</v>
      </c>
      <c r="AM12" s="16" t="s">
        <v>153</v>
      </c>
      <c r="AN12" s="16" t="s">
        <v>171</v>
      </c>
      <c r="AO12" s="16" t="s">
        <v>153</v>
      </c>
      <c r="AP12" s="16" t="s">
        <v>153</v>
      </c>
      <c r="AQ12" s="16" t="s">
        <v>153</v>
      </c>
      <c r="AR12" s="16">
        <v>2</v>
      </c>
      <c r="AS12" s="16" t="s">
        <v>319</v>
      </c>
      <c r="AT12" s="16">
        <v>63</v>
      </c>
      <c r="AU12" s="16" t="s">
        <v>320</v>
      </c>
      <c r="AV12" s="16">
        <v>96</v>
      </c>
      <c r="AW12" s="16" t="s">
        <v>321</v>
      </c>
      <c r="AX12" s="16">
        <v>72</v>
      </c>
      <c r="AY12" s="16" t="s">
        <v>322</v>
      </c>
      <c r="AZ12" s="16">
        <v>78</v>
      </c>
      <c r="BA12" s="16" t="s">
        <v>323</v>
      </c>
      <c r="BB12" s="16">
        <v>57</v>
      </c>
      <c r="BC12" s="16" t="s">
        <v>324</v>
      </c>
      <c r="BD12" s="16">
        <v>74</v>
      </c>
      <c r="BE12" s="16" t="s">
        <v>325</v>
      </c>
      <c r="BF12" s="16">
        <v>54</v>
      </c>
      <c r="BG12" s="16" t="s">
        <v>212</v>
      </c>
      <c r="BH12" s="16">
        <v>0</v>
      </c>
      <c r="BI12" s="16">
        <v>11</v>
      </c>
      <c r="BJ12" s="16">
        <v>4</v>
      </c>
      <c r="BK12" s="16" t="s">
        <v>179</v>
      </c>
      <c r="BL12" s="16">
        <v>11</v>
      </c>
      <c r="BM12" s="16" t="s">
        <v>153</v>
      </c>
      <c r="BN12" s="16" t="s">
        <v>153</v>
      </c>
    </row>
    <row r="13" spans="1:66" ht="18" customHeight="1" x14ac:dyDescent="0.15">
      <c r="A13" s="14">
        <v>10</v>
      </c>
      <c r="B13" s="15" t="s">
        <v>326</v>
      </c>
      <c r="C13" s="16" t="s">
        <v>264</v>
      </c>
      <c r="D13" s="14">
        <v>10</v>
      </c>
      <c r="E13" s="14">
        <v>769</v>
      </c>
      <c r="F13" s="14">
        <v>77</v>
      </c>
      <c r="G13" s="14">
        <v>2</v>
      </c>
      <c r="H13" s="14">
        <v>2.35</v>
      </c>
      <c r="I13" s="14">
        <v>1</v>
      </c>
      <c r="J13" s="14">
        <v>1.75</v>
      </c>
      <c r="K13" s="16" t="s">
        <v>327</v>
      </c>
      <c r="L13" s="16">
        <v>43</v>
      </c>
      <c r="M13" s="16" t="s">
        <v>328</v>
      </c>
      <c r="N13" s="16">
        <v>70</v>
      </c>
      <c r="O13" s="16" t="s">
        <v>329</v>
      </c>
      <c r="P13" s="16">
        <v>33</v>
      </c>
      <c r="Q13" s="16" t="s">
        <v>330</v>
      </c>
      <c r="R13" s="16">
        <v>57</v>
      </c>
      <c r="S13" s="16" t="s">
        <v>331</v>
      </c>
      <c r="T13" s="16">
        <v>54</v>
      </c>
      <c r="U13" s="14">
        <v>119</v>
      </c>
      <c r="V13" s="14">
        <v>24</v>
      </c>
      <c r="W13" s="14">
        <v>76</v>
      </c>
      <c r="X13" s="14">
        <v>49</v>
      </c>
      <c r="Y13" s="14">
        <v>19</v>
      </c>
      <c r="Z13" s="14">
        <v>0</v>
      </c>
      <c r="AA13" s="14">
        <v>0</v>
      </c>
      <c r="AB13" s="14">
        <v>1526</v>
      </c>
      <c r="AC13" s="16" t="s">
        <v>332</v>
      </c>
      <c r="AD13" s="16" t="s">
        <v>333</v>
      </c>
      <c r="AE13" s="16" t="s">
        <v>334</v>
      </c>
      <c r="AF13" s="16" t="s">
        <v>335</v>
      </c>
      <c r="AG13" s="16" t="s">
        <v>336</v>
      </c>
      <c r="AH13" s="16" t="s">
        <v>335</v>
      </c>
      <c r="AI13" s="16" t="s">
        <v>337</v>
      </c>
      <c r="AJ13" s="16" t="s">
        <v>338</v>
      </c>
      <c r="AK13" s="16">
        <v>1</v>
      </c>
      <c r="AL13" s="16" t="s">
        <v>339</v>
      </c>
      <c r="AM13" s="16" t="s">
        <v>194</v>
      </c>
      <c r="AN13" s="16" t="s">
        <v>340</v>
      </c>
      <c r="AO13" s="16" t="s">
        <v>153</v>
      </c>
      <c r="AP13" s="16" t="s">
        <v>153</v>
      </c>
      <c r="AQ13" s="16" t="s">
        <v>341</v>
      </c>
      <c r="AR13" s="16">
        <v>2</v>
      </c>
      <c r="AS13" s="16" t="s">
        <v>342</v>
      </c>
      <c r="AT13" s="16">
        <v>57</v>
      </c>
      <c r="AU13" s="16" t="s">
        <v>343</v>
      </c>
      <c r="AV13" s="16">
        <v>89</v>
      </c>
      <c r="AW13" s="16" t="s">
        <v>344</v>
      </c>
      <c r="AX13" s="16">
        <v>73</v>
      </c>
      <c r="AY13" s="16" t="s">
        <v>345</v>
      </c>
      <c r="AZ13" s="16">
        <v>77</v>
      </c>
      <c r="BA13" s="16" t="s">
        <v>346</v>
      </c>
      <c r="BB13" s="16">
        <v>25</v>
      </c>
      <c r="BC13" s="16" t="s">
        <v>347</v>
      </c>
      <c r="BD13" s="16">
        <v>74</v>
      </c>
      <c r="BE13" s="16" t="s">
        <v>348</v>
      </c>
      <c r="BF13" s="16">
        <v>56</v>
      </c>
      <c r="BG13" s="16" t="s">
        <v>314</v>
      </c>
      <c r="BH13" s="16">
        <v>33</v>
      </c>
      <c r="BI13" s="16">
        <v>10</v>
      </c>
      <c r="BJ13" s="16">
        <v>5</v>
      </c>
      <c r="BK13" s="16" t="s">
        <v>153</v>
      </c>
      <c r="BL13" s="16">
        <v>13</v>
      </c>
      <c r="BM13" s="16" t="s">
        <v>153</v>
      </c>
      <c r="BN13" s="16" t="s">
        <v>153</v>
      </c>
    </row>
    <row r="14" spans="1:66" ht="18" customHeight="1" x14ac:dyDescent="0.15">
      <c r="A14" s="14">
        <v>11</v>
      </c>
      <c r="B14" s="15" t="s">
        <v>349</v>
      </c>
      <c r="C14" s="16" t="s">
        <v>264</v>
      </c>
      <c r="D14" s="14">
        <v>9</v>
      </c>
      <c r="E14" s="14">
        <v>864</v>
      </c>
      <c r="F14" s="14">
        <v>96</v>
      </c>
      <c r="G14" s="14">
        <v>2</v>
      </c>
      <c r="H14" s="14">
        <v>0.88</v>
      </c>
      <c r="I14" s="14">
        <v>1</v>
      </c>
      <c r="J14" s="14">
        <v>7.0000000000000007E-2</v>
      </c>
      <c r="K14" s="16" t="s">
        <v>350</v>
      </c>
      <c r="L14" s="16">
        <v>23</v>
      </c>
      <c r="M14" s="16" t="s">
        <v>351</v>
      </c>
      <c r="N14" s="16">
        <v>73</v>
      </c>
      <c r="O14" s="16" t="s">
        <v>223</v>
      </c>
      <c r="P14" s="16">
        <v>33</v>
      </c>
      <c r="Q14" s="16" t="s">
        <v>352</v>
      </c>
      <c r="R14" s="16">
        <v>77</v>
      </c>
      <c r="S14" s="16" t="s">
        <v>353</v>
      </c>
      <c r="T14" s="16">
        <v>68</v>
      </c>
      <c r="U14" s="14">
        <v>118</v>
      </c>
      <c r="V14" s="14">
        <v>44</v>
      </c>
      <c r="W14" s="14">
        <v>132</v>
      </c>
      <c r="X14" s="14">
        <v>34</v>
      </c>
      <c r="Y14" s="14">
        <v>12</v>
      </c>
      <c r="Z14" s="14">
        <v>1</v>
      </c>
      <c r="AA14" s="14">
        <v>0</v>
      </c>
      <c r="AB14" s="14">
        <v>1511</v>
      </c>
      <c r="AC14" s="16" t="s">
        <v>354</v>
      </c>
      <c r="AD14" s="16" t="s">
        <v>355</v>
      </c>
      <c r="AE14" s="16" t="s">
        <v>356</v>
      </c>
      <c r="AF14" s="16" t="s">
        <v>357</v>
      </c>
      <c r="AG14" s="16" t="s">
        <v>358</v>
      </c>
      <c r="AH14" s="16" t="s">
        <v>359</v>
      </c>
      <c r="AI14" s="16" t="s">
        <v>360</v>
      </c>
      <c r="AJ14" s="16" t="s">
        <v>361</v>
      </c>
      <c r="AK14" s="16">
        <v>3</v>
      </c>
      <c r="AL14" s="16" t="s">
        <v>362</v>
      </c>
      <c r="AM14" s="16" t="s">
        <v>194</v>
      </c>
      <c r="AN14" s="16" t="s">
        <v>363</v>
      </c>
      <c r="AO14" s="16">
        <v>2</v>
      </c>
      <c r="AP14" s="16" t="s">
        <v>153</v>
      </c>
      <c r="AQ14" s="16" t="s">
        <v>153</v>
      </c>
      <c r="AR14" s="16">
        <v>1</v>
      </c>
      <c r="AS14" s="16" t="s">
        <v>364</v>
      </c>
      <c r="AT14" s="16">
        <v>63</v>
      </c>
      <c r="AU14" s="16" t="s">
        <v>365</v>
      </c>
      <c r="AV14" s="16">
        <v>92</v>
      </c>
      <c r="AW14" s="16" t="s">
        <v>366</v>
      </c>
      <c r="AX14" s="16">
        <v>85</v>
      </c>
      <c r="AY14" s="16" t="s">
        <v>367</v>
      </c>
      <c r="AZ14" s="16">
        <v>82</v>
      </c>
      <c r="BA14" s="16" t="s">
        <v>368</v>
      </c>
      <c r="BB14" s="16">
        <v>36</v>
      </c>
      <c r="BC14" s="16" t="s">
        <v>369</v>
      </c>
      <c r="BD14" s="16">
        <v>64</v>
      </c>
      <c r="BE14" s="16" t="s">
        <v>370</v>
      </c>
      <c r="BF14" s="16">
        <v>55</v>
      </c>
      <c r="BG14" s="16" t="s">
        <v>371</v>
      </c>
      <c r="BH14" s="16">
        <v>33</v>
      </c>
      <c r="BI14" s="16">
        <v>5</v>
      </c>
      <c r="BJ14" s="16">
        <v>1</v>
      </c>
      <c r="BK14" s="16" t="s">
        <v>153</v>
      </c>
      <c r="BL14" s="16">
        <v>5</v>
      </c>
      <c r="BM14" s="16" t="s">
        <v>153</v>
      </c>
      <c r="BN14" s="16" t="s">
        <v>153</v>
      </c>
    </row>
    <row r="15" spans="1:66" ht="18" customHeight="1" x14ac:dyDescent="0.15">
      <c r="A15" s="17">
        <v>6</v>
      </c>
      <c r="B15" s="18" t="s">
        <v>372</v>
      </c>
      <c r="C15" s="19" t="s">
        <v>373</v>
      </c>
      <c r="D15" s="17">
        <v>8</v>
      </c>
      <c r="E15" s="17">
        <v>246</v>
      </c>
      <c r="F15" s="17">
        <v>31</v>
      </c>
      <c r="G15" s="17">
        <v>0</v>
      </c>
      <c r="H15" s="17">
        <v>0.62</v>
      </c>
      <c r="I15" s="17">
        <v>0</v>
      </c>
      <c r="J15" s="17">
        <v>0.13</v>
      </c>
      <c r="K15" s="19" t="s">
        <v>329</v>
      </c>
      <c r="L15" s="19">
        <v>33</v>
      </c>
      <c r="M15" s="19" t="s">
        <v>374</v>
      </c>
      <c r="N15" s="19">
        <v>70</v>
      </c>
      <c r="O15" s="19" t="s">
        <v>160</v>
      </c>
      <c r="P15" s="19">
        <v>50</v>
      </c>
      <c r="Q15" s="19" t="s">
        <v>375</v>
      </c>
      <c r="R15" s="19">
        <v>50</v>
      </c>
      <c r="S15" s="19" t="s">
        <v>376</v>
      </c>
      <c r="T15" s="19">
        <v>56</v>
      </c>
      <c r="U15" s="17">
        <v>36</v>
      </c>
      <c r="V15" s="17">
        <v>4</v>
      </c>
      <c r="W15" s="17">
        <v>7</v>
      </c>
      <c r="X15" s="17">
        <v>4</v>
      </c>
      <c r="Y15" s="17">
        <v>11</v>
      </c>
      <c r="Z15" s="17">
        <v>0</v>
      </c>
      <c r="AA15" s="17">
        <v>0</v>
      </c>
      <c r="AB15" s="17">
        <v>1339</v>
      </c>
      <c r="AC15" s="19" t="s">
        <v>377</v>
      </c>
      <c r="AD15" s="19" t="s">
        <v>378</v>
      </c>
      <c r="AE15" s="19" t="s">
        <v>379</v>
      </c>
      <c r="AF15" s="19" t="s">
        <v>380</v>
      </c>
      <c r="AG15" s="19" t="s">
        <v>262</v>
      </c>
      <c r="AH15" s="19" t="s">
        <v>381</v>
      </c>
      <c r="AI15" s="19" t="s">
        <v>336</v>
      </c>
      <c r="AJ15" s="19" t="s">
        <v>335</v>
      </c>
      <c r="AK15" s="19">
        <v>1</v>
      </c>
      <c r="AL15" s="19" t="s">
        <v>382</v>
      </c>
      <c r="AM15" s="19" t="s">
        <v>153</v>
      </c>
      <c r="AN15" s="19" t="s">
        <v>232</v>
      </c>
      <c r="AO15" s="19" t="s">
        <v>153</v>
      </c>
      <c r="AP15" s="19" t="s">
        <v>153</v>
      </c>
      <c r="AQ15" s="19" t="s">
        <v>153</v>
      </c>
      <c r="AR15" s="19" t="s">
        <v>153</v>
      </c>
      <c r="AS15" s="19" t="s">
        <v>195</v>
      </c>
      <c r="AT15" s="19">
        <v>57</v>
      </c>
      <c r="AU15" s="19" t="s">
        <v>383</v>
      </c>
      <c r="AV15" s="19">
        <v>71</v>
      </c>
      <c r="AW15" s="19" t="s">
        <v>384</v>
      </c>
      <c r="AX15" s="19">
        <v>81</v>
      </c>
      <c r="AY15" s="19" t="s">
        <v>385</v>
      </c>
      <c r="AZ15" s="19">
        <v>75</v>
      </c>
      <c r="BA15" s="19" t="s">
        <v>297</v>
      </c>
      <c r="BB15" s="19">
        <v>25</v>
      </c>
      <c r="BC15" s="19" t="s">
        <v>386</v>
      </c>
      <c r="BD15" s="19">
        <v>86</v>
      </c>
      <c r="BE15" s="19" t="s">
        <v>203</v>
      </c>
      <c r="BF15" s="19">
        <v>50</v>
      </c>
      <c r="BG15" s="19" t="s">
        <v>153</v>
      </c>
      <c r="BH15" s="19">
        <v>0</v>
      </c>
      <c r="BI15" s="19">
        <v>2</v>
      </c>
      <c r="BJ15" s="19">
        <v>1</v>
      </c>
      <c r="BK15" s="19" t="s">
        <v>153</v>
      </c>
      <c r="BL15" s="19">
        <v>1</v>
      </c>
      <c r="BM15" s="19" t="s">
        <v>153</v>
      </c>
      <c r="BN15" s="19" t="s">
        <v>153</v>
      </c>
    </row>
    <row r="16" spans="1:66" ht="18" customHeight="1" x14ac:dyDescent="0.15">
      <c r="A16" s="17">
        <v>9</v>
      </c>
      <c r="B16" s="18" t="s">
        <v>387</v>
      </c>
      <c r="C16" s="19" t="s">
        <v>373</v>
      </c>
      <c r="D16" s="17">
        <v>10</v>
      </c>
      <c r="E16" s="17">
        <v>938</v>
      </c>
      <c r="F16" s="17">
        <v>94</v>
      </c>
      <c r="G16" s="17">
        <v>0</v>
      </c>
      <c r="H16" s="17">
        <v>0.16</v>
      </c>
      <c r="I16" s="17">
        <v>0</v>
      </c>
      <c r="J16" s="17">
        <v>0.08</v>
      </c>
      <c r="K16" s="19" t="s">
        <v>157</v>
      </c>
      <c r="L16" s="19">
        <v>40</v>
      </c>
      <c r="M16" s="19" t="s">
        <v>388</v>
      </c>
      <c r="N16" s="19">
        <v>86</v>
      </c>
      <c r="O16" s="19" t="s">
        <v>389</v>
      </c>
      <c r="P16" s="19">
        <v>20</v>
      </c>
      <c r="Q16" s="19" t="s">
        <v>390</v>
      </c>
      <c r="R16" s="19">
        <v>73</v>
      </c>
      <c r="S16" s="19" t="s">
        <v>391</v>
      </c>
      <c r="T16" s="19">
        <v>60</v>
      </c>
      <c r="U16" s="17">
        <v>109</v>
      </c>
      <c r="V16" s="17">
        <v>54</v>
      </c>
      <c r="W16" s="17">
        <v>145</v>
      </c>
      <c r="X16" s="17">
        <v>44</v>
      </c>
      <c r="Y16" s="17">
        <v>2</v>
      </c>
      <c r="Z16" s="17">
        <v>1</v>
      </c>
      <c r="AA16" s="17">
        <v>0</v>
      </c>
      <c r="AB16" s="17">
        <v>1424</v>
      </c>
      <c r="AC16" s="19" t="s">
        <v>392</v>
      </c>
      <c r="AD16" s="19" t="s">
        <v>187</v>
      </c>
      <c r="AE16" s="19" t="s">
        <v>393</v>
      </c>
      <c r="AF16" s="19" t="s">
        <v>394</v>
      </c>
      <c r="AG16" s="19" t="s">
        <v>203</v>
      </c>
      <c r="AH16" s="19" t="s">
        <v>231</v>
      </c>
      <c r="AI16" s="19" t="s">
        <v>395</v>
      </c>
      <c r="AJ16" s="19" t="s">
        <v>396</v>
      </c>
      <c r="AK16" s="19" t="s">
        <v>153</v>
      </c>
      <c r="AL16" s="19" t="s">
        <v>397</v>
      </c>
      <c r="AM16" s="19" t="s">
        <v>153</v>
      </c>
      <c r="AN16" s="19" t="s">
        <v>398</v>
      </c>
      <c r="AO16" s="19" t="s">
        <v>153</v>
      </c>
      <c r="AP16" s="19" t="s">
        <v>153</v>
      </c>
      <c r="AQ16" s="19" t="s">
        <v>153</v>
      </c>
      <c r="AR16" s="19">
        <v>97</v>
      </c>
      <c r="AS16" s="19" t="s">
        <v>399</v>
      </c>
      <c r="AT16" s="19">
        <v>80</v>
      </c>
      <c r="AU16" s="19" t="s">
        <v>400</v>
      </c>
      <c r="AV16" s="19">
        <v>91</v>
      </c>
      <c r="AW16" s="19" t="s">
        <v>401</v>
      </c>
      <c r="AX16" s="19">
        <v>91</v>
      </c>
      <c r="AY16" s="19" t="s">
        <v>402</v>
      </c>
      <c r="AZ16" s="19">
        <v>89</v>
      </c>
      <c r="BA16" s="19" t="s">
        <v>403</v>
      </c>
      <c r="BB16" s="19">
        <v>47</v>
      </c>
      <c r="BC16" s="19" t="s">
        <v>404</v>
      </c>
      <c r="BD16" s="19">
        <v>73</v>
      </c>
      <c r="BE16" s="19" t="s">
        <v>405</v>
      </c>
      <c r="BF16" s="19">
        <v>76</v>
      </c>
      <c r="BG16" s="19" t="s">
        <v>212</v>
      </c>
      <c r="BH16" s="19">
        <v>0</v>
      </c>
      <c r="BI16" s="19">
        <v>0</v>
      </c>
      <c r="BJ16" s="19">
        <v>0</v>
      </c>
      <c r="BK16" s="19" t="s">
        <v>179</v>
      </c>
      <c r="BL16" s="19">
        <v>3</v>
      </c>
      <c r="BM16" s="19" t="s">
        <v>153</v>
      </c>
      <c r="BN16" s="19" t="s">
        <v>153</v>
      </c>
    </row>
    <row r="17" spans="1:66" ht="18" customHeight="1" x14ac:dyDescent="0.15">
      <c r="A17" s="17">
        <v>12</v>
      </c>
      <c r="B17" s="18" t="s">
        <v>406</v>
      </c>
      <c r="C17" s="19" t="s">
        <v>373</v>
      </c>
      <c r="D17" s="17">
        <v>6</v>
      </c>
      <c r="E17" s="17">
        <v>73</v>
      </c>
      <c r="F17" s="17">
        <v>12</v>
      </c>
      <c r="G17" s="17">
        <v>1</v>
      </c>
      <c r="H17" s="17">
        <v>1.1000000000000001</v>
      </c>
      <c r="I17" s="17">
        <v>0</v>
      </c>
      <c r="J17" s="17">
        <v>0</v>
      </c>
      <c r="K17" s="19" t="s">
        <v>265</v>
      </c>
      <c r="L17" s="19">
        <v>29</v>
      </c>
      <c r="M17" s="19" t="s">
        <v>407</v>
      </c>
      <c r="N17" s="19">
        <v>69</v>
      </c>
      <c r="O17" s="19" t="s">
        <v>206</v>
      </c>
      <c r="P17" s="19">
        <v>0</v>
      </c>
      <c r="Q17" s="19" t="s">
        <v>247</v>
      </c>
      <c r="R17" s="19">
        <v>57</v>
      </c>
      <c r="S17" s="19" t="s">
        <v>225</v>
      </c>
      <c r="T17" s="19">
        <v>29</v>
      </c>
      <c r="U17" s="17">
        <v>7</v>
      </c>
      <c r="V17" s="17">
        <v>1</v>
      </c>
      <c r="W17" s="17">
        <v>2</v>
      </c>
      <c r="X17" s="17">
        <v>1</v>
      </c>
      <c r="Y17" s="17">
        <v>7</v>
      </c>
      <c r="Z17" s="17">
        <v>0</v>
      </c>
      <c r="AA17" s="17">
        <v>0</v>
      </c>
      <c r="AB17" s="17">
        <v>1722</v>
      </c>
      <c r="AC17" s="19" t="s">
        <v>408</v>
      </c>
      <c r="AD17" s="19" t="s">
        <v>213</v>
      </c>
      <c r="AE17" s="19" t="s">
        <v>340</v>
      </c>
      <c r="AF17" s="19" t="s">
        <v>165</v>
      </c>
      <c r="AG17" s="19" t="s">
        <v>153</v>
      </c>
      <c r="AH17" s="19" t="s">
        <v>153</v>
      </c>
      <c r="AI17" s="19" t="s">
        <v>194</v>
      </c>
      <c r="AJ17" s="19" t="s">
        <v>233</v>
      </c>
      <c r="AK17" s="19" t="s">
        <v>153</v>
      </c>
      <c r="AL17" s="19" t="s">
        <v>153</v>
      </c>
      <c r="AM17" s="19" t="s">
        <v>153</v>
      </c>
      <c r="AN17" s="19" t="s">
        <v>153</v>
      </c>
      <c r="AO17" s="19" t="s">
        <v>153</v>
      </c>
      <c r="AP17" s="19" t="s">
        <v>153</v>
      </c>
      <c r="AQ17" s="19" t="s">
        <v>153</v>
      </c>
      <c r="AR17" s="19" t="s">
        <v>153</v>
      </c>
      <c r="AS17" s="19" t="s">
        <v>171</v>
      </c>
      <c r="AT17" s="19">
        <v>50</v>
      </c>
      <c r="AU17" s="19" t="s">
        <v>409</v>
      </c>
      <c r="AV17" s="19">
        <v>83</v>
      </c>
      <c r="AW17" s="19" t="s">
        <v>171</v>
      </c>
      <c r="AX17" s="19">
        <v>50</v>
      </c>
      <c r="AY17" s="19" t="s">
        <v>410</v>
      </c>
      <c r="AZ17" s="19">
        <v>75</v>
      </c>
      <c r="BA17" s="19" t="s">
        <v>179</v>
      </c>
      <c r="BB17" s="19">
        <v>0</v>
      </c>
      <c r="BC17" s="19" t="s">
        <v>179</v>
      </c>
      <c r="BD17" s="19">
        <v>0</v>
      </c>
      <c r="BE17" s="19" t="s">
        <v>236</v>
      </c>
      <c r="BF17" s="19">
        <v>0</v>
      </c>
      <c r="BG17" s="19" t="s">
        <v>179</v>
      </c>
      <c r="BH17" s="19">
        <v>0</v>
      </c>
      <c r="BI17" s="19">
        <v>2</v>
      </c>
      <c r="BJ17" s="19">
        <v>1</v>
      </c>
      <c r="BK17" s="19" t="s">
        <v>153</v>
      </c>
      <c r="BL17" s="19">
        <v>1</v>
      </c>
      <c r="BM17" s="19" t="s">
        <v>153</v>
      </c>
      <c r="BN17" s="19" t="s">
        <v>153</v>
      </c>
    </row>
    <row r="18" spans="1:66" ht="18" customHeight="1" x14ac:dyDescent="0.15">
      <c r="A18" s="17">
        <v>13</v>
      </c>
      <c r="B18" s="18" t="s">
        <v>411</v>
      </c>
      <c r="C18" s="19" t="s">
        <v>373</v>
      </c>
      <c r="D18" s="17">
        <v>8</v>
      </c>
      <c r="E18" s="17">
        <v>768</v>
      </c>
      <c r="F18" s="17">
        <v>96</v>
      </c>
      <c r="G18" s="17">
        <v>1</v>
      </c>
      <c r="H18" s="17">
        <v>0.2</v>
      </c>
      <c r="I18" s="17">
        <v>2</v>
      </c>
      <c r="J18" s="17">
        <v>1.34</v>
      </c>
      <c r="K18" s="19" t="s">
        <v>412</v>
      </c>
      <c r="L18" s="19">
        <v>33</v>
      </c>
      <c r="M18" s="19" t="s">
        <v>413</v>
      </c>
      <c r="N18" s="19">
        <v>77</v>
      </c>
      <c r="O18" s="19" t="s">
        <v>223</v>
      </c>
      <c r="P18" s="19">
        <v>33</v>
      </c>
      <c r="Q18" s="19" t="s">
        <v>414</v>
      </c>
      <c r="R18" s="19">
        <v>55</v>
      </c>
      <c r="S18" s="19" t="s">
        <v>415</v>
      </c>
      <c r="T18" s="19">
        <v>52</v>
      </c>
      <c r="U18" s="17">
        <v>124</v>
      </c>
      <c r="V18" s="17">
        <v>43</v>
      </c>
      <c r="W18" s="17">
        <v>95</v>
      </c>
      <c r="X18" s="17">
        <v>51</v>
      </c>
      <c r="Y18" s="17">
        <v>5</v>
      </c>
      <c r="Z18" s="17">
        <v>1</v>
      </c>
      <c r="AA18" s="17">
        <v>0</v>
      </c>
      <c r="AB18" s="17">
        <v>1611</v>
      </c>
      <c r="AC18" s="19" t="s">
        <v>162</v>
      </c>
      <c r="AD18" s="19" t="s">
        <v>163</v>
      </c>
      <c r="AE18" s="19" t="s">
        <v>416</v>
      </c>
      <c r="AF18" s="19" t="s">
        <v>417</v>
      </c>
      <c r="AG18" s="19" t="s">
        <v>418</v>
      </c>
      <c r="AH18" s="19" t="s">
        <v>419</v>
      </c>
      <c r="AI18" s="19" t="s">
        <v>277</v>
      </c>
      <c r="AJ18" s="19" t="s">
        <v>420</v>
      </c>
      <c r="AK18" s="19" t="s">
        <v>153</v>
      </c>
      <c r="AL18" s="19" t="s">
        <v>421</v>
      </c>
      <c r="AM18" s="19" t="s">
        <v>153</v>
      </c>
      <c r="AN18" s="19" t="s">
        <v>408</v>
      </c>
      <c r="AO18" s="19">
        <v>2</v>
      </c>
      <c r="AP18" s="19" t="s">
        <v>153</v>
      </c>
      <c r="AQ18" s="19" t="s">
        <v>422</v>
      </c>
      <c r="AR18" s="19">
        <v>13</v>
      </c>
      <c r="AS18" s="19" t="s">
        <v>423</v>
      </c>
      <c r="AT18" s="19">
        <v>61</v>
      </c>
      <c r="AU18" s="19" t="s">
        <v>424</v>
      </c>
      <c r="AV18" s="19">
        <v>96</v>
      </c>
      <c r="AW18" s="19" t="s">
        <v>425</v>
      </c>
      <c r="AX18" s="19">
        <v>88</v>
      </c>
      <c r="AY18" s="19" t="s">
        <v>426</v>
      </c>
      <c r="AZ18" s="19">
        <v>81</v>
      </c>
      <c r="BA18" s="19" t="s">
        <v>427</v>
      </c>
      <c r="BB18" s="19">
        <v>44</v>
      </c>
      <c r="BC18" s="19" t="s">
        <v>428</v>
      </c>
      <c r="BD18" s="19">
        <v>63</v>
      </c>
      <c r="BE18" s="19" t="s">
        <v>261</v>
      </c>
      <c r="BF18" s="19">
        <v>62</v>
      </c>
      <c r="BG18" s="19" t="s">
        <v>171</v>
      </c>
      <c r="BH18" s="19">
        <v>50</v>
      </c>
      <c r="BI18" s="19">
        <v>2</v>
      </c>
      <c r="BJ18" s="19">
        <v>1</v>
      </c>
      <c r="BK18" s="19" t="s">
        <v>153</v>
      </c>
      <c r="BL18" s="19">
        <v>12</v>
      </c>
      <c r="BM18" s="19" t="s">
        <v>153</v>
      </c>
      <c r="BN18" s="19" t="s">
        <v>153</v>
      </c>
    </row>
    <row r="19" spans="1:66" ht="18" customHeight="1" x14ac:dyDescent="0.15">
      <c r="A19" s="17">
        <v>15</v>
      </c>
      <c r="B19" s="18" t="s">
        <v>429</v>
      </c>
      <c r="C19" s="19" t="s">
        <v>373</v>
      </c>
      <c r="D19" s="17">
        <v>10</v>
      </c>
      <c r="E19" s="17">
        <v>888</v>
      </c>
      <c r="F19" s="17">
        <v>89</v>
      </c>
      <c r="G19" s="17">
        <v>8</v>
      </c>
      <c r="H19" s="17">
        <v>4.26</v>
      </c>
      <c r="I19" s="17">
        <v>2</v>
      </c>
      <c r="J19" s="17">
        <v>1.92</v>
      </c>
      <c r="K19" s="19" t="s">
        <v>430</v>
      </c>
      <c r="L19" s="19">
        <v>48</v>
      </c>
      <c r="M19" s="19" t="s">
        <v>431</v>
      </c>
      <c r="N19" s="19">
        <v>65</v>
      </c>
      <c r="O19" s="19" t="s">
        <v>432</v>
      </c>
      <c r="P19" s="19">
        <v>29</v>
      </c>
      <c r="Q19" s="19" t="s">
        <v>433</v>
      </c>
      <c r="R19" s="19">
        <v>54</v>
      </c>
      <c r="S19" s="19" t="s">
        <v>434</v>
      </c>
      <c r="T19" s="19">
        <v>44</v>
      </c>
      <c r="U19" s="17">
        <v>197</v>
      </c>
      <c r="V19" s="17">
        <v>32</v>
      </c>
      <c r="W19" s="17">
        <v>71</v>
      </c>
      <c r="X19" s="17">
        <v>47</v>
      </c>
      <c r="Y19" s="17">
        <v>41</v>
      </c>
      <c r="Z19" s="17">
        <v>0</v>
      </c>
      <c r="AA19" s="17">
        <v>0</v>
      </c>
      <c r="AB19" s="17">
        <v>1698</v>
      </c>
      <c r="AC19" s="19" t="s">
        <v>435</v>
      </c>
      <c r="AD19" s="19" t="s">
        <v>436</v>
      </c>
      <c r="AE19" s="19" t="s">
        <v>437</v>
      </c>
      <c r="AF19" s="19" t="s">
        <v>165</v>
      </c>
      <c r="AG19" s="19" t="s">
        <v>438</v>
      </c>
      <c r="AH19" s="19" t="s">
        <v>192</v>
      </c>
      <c r="AI19" s="19" t="s">
        <v>439</v>
      </c>
      <c r="AJ19" s="19" t="s">
        <v>440</v>
      </c>
      <c r="AK19" s="19" t="s">
        <v>153</v>
      </c>
      <c r="AL19" s="19" t="s">
        <v>441</v>
      </c>
      <c r="AM19" s="19" t="s">
        <v>442</v>
      </c>
      <c r="AN19" s="19" t="s">
        <v>363</v>
      </c>
      <c r="AO19" s="19">
        <v>3</v>
      </c>
      <c r="AP19" s="19" t="s">
        <v>153</v>
      </c>
      <c r="AQ19" s="19" t="s">
        <v>443</v>
      </c>
      <c r="AR19" s="19">
        <v>27</v>
      </c>
      <c r="AS19" s="19" t="s">
        <v>444</v>
      </c>
      <c r="AT19" s="19">
        <v>53</v>
      </c>
      <c r="AU19" s="19" t="s">
        <v>445</v>
      </c>
      <c r="AV19" s="19">
        <v>90</v>
      </c>
      <c r="AW19" s="19" t="s">
        <v>446</v>
      </c>
      <c r="AX19" s="19">
        <v>58</v>
      </c>
      <c r="AY19" s="19" t="s">
        <v>447</v>
      </c>
      <c r="AZ19" s="19">
        <v>74</v>
      </c>
      <c r="BA19" s="19" t="s">
        <v>448</v>
      </c>
      <c r="BB19" s="19">
        <v>47</v>
      </c>
      <c r="BC19" s="19" t="s">
        <v>449</v>
      </c>
      <c r="BD19" s="19">
        <v>69</v>
      </c>
      <c r="BE19" s="19" t="s">
        <v>450</v>
      </c>
      <c r="BF19" s="19">
        <v>49</v>
      </c>
      <c r="BG19" s="19" t="s">
        <v>382</v>
      </c>
      <c r="BH19" s="19">
        <v>0</v>
      </c>
      <c r="BI19" s="19">
        <v>15</v>
      </c>
      <c r="BJ19" s="19">
        <v>6</v>
      </c>
      <c r="BK19" s="19" t="s">
        <v>153</v>
      </c>
      <c r="BL19" s="19">
        <v>20</v>
      </c>
      <c r="BM19" s="19" t="s">
        <v>153</v>
      </c>
      <c r="BN19" s="19" t="s">
        <v>153</v>
      </c>
    </row>
    <row r="20" spans="1:66" ht="18" customHeight="1" x14ac:dyDescent="0.15">
      <c r="A20" s="17">
        <v>18</v>
      </c>
      <c r="B20" s="18" t="s">
        <v>451</v>
      </c>
      <c r="C20" s="19" t="s">
        <v>373</v>
      </c>
      <c r="D20" s="17">
        <v>9</v>
      </c>
      <c r="E20" s="17">
        <v>306</v>
      </c>
      <c r="F20" s="17">
        <v>34</v>
      </c>
      <c r="G20" s="17">
        <v>0</v>
      </c>
      <c r="H20" s="17">
        <v>0.03</v>
      </c>
      <c r="I20" s="17">
        <v>0</v>
      </c>
      <c r="J20" s="17">
        <v>7.0000000000000007E-2</v>
      </c>
      <c r="K20" s="19" t="s">
        <v>452</v>
      </c>
      <c r="L20" s="19">
        <v>25</v>
      </c>
      <c r="M20" s="19" t="s">
        <v>453</v>
      </c>
      <c r="N20" s="19">
        <v>71</v>
      </c>
      <c r="O20" s="19" t="s">
        <v>452</v>
      </c>
      <c r="P20" s="19">
        <v>25</v>
      </c>
      <c r="Q20" s="19" t="s">
        <v>454</v>
      </c>
      <c r="R20" s="19">
        <v>43</v>
      </c>
      <c r="S20" s="19" t="s">
        <v>455</v>
      </c>
      <c r="T20" s="19">
        <v>55</v>
      </c>
      <c r="U20" s="17">
        <v>46</v>
      </c>
      <c r="V20" s="17">
        <v>4</v>
      </c>
      <c r="W20" s="17">
        <v>26</v>
      </c>
      <c r="X20" s="17">
        <v>12</v>
      </c>
      <c r="Y20" s="17">
        <v>8</v>
      </c>
      <c r="Z20" s="17">
        <v>0</v>
      </c>
      <c r="AA20" s="17">
        <v>0</v>
      </c>
      <c r="AB20" s="17">
        <v>1809</v>
      </c>
      <c r="AC20" s="19" t="s">
        <v>456</v>
      </c>
      <c r="AD20" s="19" t="s">
        <v>252</v>
      </c>
      <c r="AE20" s="19" t="s">
        <v>191</v>
      </c>
      <c r="AF20" s="19" t="s">
        <v>192</v>
      </c>
      <c r="AG20" s="19" t="s">
        <v>262</v>
      </c>
      <c r="AH20" s="19" t="s">
        <v>381</v>
      </c>
      <c r="AI20" s="19" t="s">
        <v>457</v>
      </c>
      <c r="AJ20" s="19" t="s">
        <v>458</v>
      </c>
      <c r="AK20" s="19">
        <v>1</v>
      </c>
      <c r="AL20" s="19" t="s">
        <v>459</v>
      </c>
      <c r="AM20" s="19" t="s">
        <v>153</v>
      </c>
      <c r="AN20" s="19" t="s">
        <v>460</v>
      </c>
      <c r="AO20" s="19" t="s">
        <v>153</v>
      </c>
      <c r="AP20" s="19" t="s">
        <v>153</v>
      </c>
      <c r="AQ20" s="19" t="s">
        <v>153</v>
      </c>
      <c r="AR20" s="19" t="s">
        <v>153</v>
      </c>
      <c r="AS20" s="19" t="s">
        <v>461</v>
      </c>
      <c r="AT20" s="19">
        <v>54</v>
      </c>
      <c r="AU20" s="19" t="s">
        <v>462</v>
      </c>
      <c r="AV20" s="19">
        <v>90</v>
      </c>
      <c r="AW20" s="19" t="s">
        <v>463</v>
      </c>
      <c r="AX20" s="19">
        <v>64</v>
      </c>
      <c r="AY20" s="19" t="s">
        <v>464</v>
      </c>
      <c r="AZ20" s="19">
        <v>75</v>
      </c>
      <c r="BA20" s="19" t="s">
        <v>465</v>
      </c>
      <c r="BB20" s="19">
        <v>40</v>
      </c>
      <c r="BC20" s="19" t="s">
        <v>466</v>
      </c>
      <c r="BD20" s="19">
        <v>93</v>
      </c>
      <c r="BE20" s="19" t="s">
        <v>467</v>
      </c>
      <c r="BF20" s="19">
        <v>41</v>
      </c>
      <c r="BG20" s="19" t="s">
        <v>212</v>
      </c>
      <c r="BH20" s="19">
        <v>0</v>
      </c>
      <c r="BI20" s="19">
        <v>4</v>
      </c>
      <c r="BJ20" s="19">
        <v>2</v>
      </c>
      <c r="BK20" s="19" t="s">
        <v>153</v>
      </c>
      <c r="BL20" s="19">
        <v>4</v>
      </c>
      <c r="BM20" s="19" t="s">
        <v>153</v>
      </c>
      <c r="BN20" s="19" t="s">
        <v>153</v>
      </c>
    </row>
    <row r="21" spans="1:66" ht="18" customHeight="1" x14ac:dyDescent="0.15">
      <c r="A21" s="17">
        <v>44</v>
      </c>
      <c r="B21" s="18" t="s">
        <v>468</v>
      </c>
      <c r="C21" s="19" t="s">
        <v>373</v>
      </c>
      <c r="D21" s="17">
        <v>2</v>
      </c>
      <c r="E21" s="17">
        <v>32</v>
      </c>
      <c r="F21" s="17">
        <v>16</v>
      </c>
      <c r="G21" s="17">
        <v>0</v>
      </c>
      <c r="H21" s="17">
        <v>0.17</v>
      </c>
      <c r="I21" s="17">
        <v>0</v>
      </c>
      <c r="J21" s="17">
        <v>0</v>
      </c>
      <c r="K21" s="19" t="s">
        <v>249</v>
      </c>
      <c r="L21" s="19">
        <v>0</v>
      </c>
      <c r="M21" s="19" t="s">
        <v>352</v>
      </c>
      <c r="N21" s="19">
        <v>77</v>
      </c>
      <c r="O21" s="19" t="s">
        <v>206</v>
      </c>
      <c r="P21" s="19">
        <v>0</v>
      </c>
      <c r="Q21" s="19" t="s">
        <v>206</v>
      </c>
      <c r="R21" s="19">
        <v>0</v>
      </c>
      <c r="S21" s="19" t="s">
        <v>469</v>
      </c>
      <c r="T21" s="19">
        <v>33</v>
      </c>
      <c r="U21" s="17">
        <v>2</v>
      </c>
      <c r="V21" s="17">
        <v>0</v>
      </c>
      <c r="W21" s="17">
        <v>1</v>
      </c>
      <c r="X21" s="17">
        <v>0</v>
      </c>
      <c r="Y21" s="17">
        <v>1</v>
      </c>
      <c r="Z21" s="17">
        <v>0</v>
      </c>
      <c r="AA21" s="17">
        <v>0</v>
      </c>
      <c r="AB21" s="17">
        <v>1330</v>
      </c>
      <c r="AC21" s="19" t="s">
        <v>171</v>
      </c>
      <c r="AD21" s="19" t="s">
        <v>231</v>
      </c>
      <c r="AE21" s="19" t="s">
        <v>153</v>
      </c>
      <c r="AF21" s="19" t="s">
        <v>153</v>
      </c>
      <c r="AG21" s="19" t="s">
        <v>153</v>
      </c>
      <c r="AH21" s="19" t="s">
        <v>153</v>
      </c>
      <c r="AI21" s="19" t="s">
        <v>179</v>
      </c>
      <c r="AJ21" s="19" t="s">
        <v>213</v>
      </c>
      <c r="AK21" s="19" t="s">
        <v>153</v>
      </c>
      <c r="AL21" s="19" t="s">
        <v>212</v>
      </c>
      <c r="AM21" s="19" t="s">
        <v>153</v>
      </c>
      <c r="AN21" s="19" t="s">
        <v>153</v>
      </c>
      <c r="AO21" s="19" t="s">
        <v>153</v>
      </c>
      <c r="AP21" s="19" t="s">
        <v>153</v>
      </c>
      <c r="AQ21" s="19" t="s">
        <v>153</v>
      </c>
      <c r="AR21" s="19" t="s">
        <v>153</v>
      </c>
      <c r="AS21" s="19" t="s">
        <v>470</v>
      </c>
      <c r="AT21" s="19">
        <v>50</v>
      </c>
      <c r="AU21" s="19" t="s">
        <v>442</v>
      </c>
      <c r="AV21" s="19">
        <v>100</v>
      </c>
      <c r="AW21" s="19" t="s">
        <v>232</v>
      </c>
      <c r="AX21" s="19">
        <v>100</v>
      </c>
      <c r="AY21" s="19" t="s">
        <v>471</v>
      </c>
      <c r="AZ21" s="19">
        <v>83</v>
      </c>
      <c r="BA21" s="19" t="s">
        <v>179</v>
      </c>
      <c r="BB21" s="19">
        <v>0</v>
      </c>
      <c r="BC21" s="19" t="s">
        <v>179</v>
      </c>
      <c r="BD21" s="19">
        <v>0</v>
      </c>
      <c r="BE21" s="19" t="s">
        <v>153</v>
      </c>
      <c r="BF21" s="19">
        <v>0</v>
      </c>
      <c r="BG21" s="19" t="s">
        <v>153</v>
      </c>
      <c r="BH21" s="19">
        <v>0</v>
      </c>
      <c r="BI21" s="19">
        <v>0</v>
      </c>
      <c r="BJ21" s="19">
        <v>0</v>
      </c>
      <c r="BK21" s="19" t="s">
        <v>153</v>
      </c>
      <c r="BL21" s="19">
        <v>0</v>
      </c>
      <c r="BM21" s="19" t="s">
        <v>153</v>
      </c>
      <c r="BN21" s="19" t="s">
        <v>153</v>
      </c>
    </row>
  </sheetData>
  <mergeCells count="7">
    <mergeCell ref="B1:C1"/>
    <mergeCell ref="AC1:AR1"/>
    <mergeCell ref="BM1:BN1"/>
    <mergeCell ref="D1:J1"/>
    <mergeCell ref="K1:T1"/>
    <mergeCell ref="AS1:BL1"/>
    <mergeCell ref="U1:A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WyscoutReport</vt:lpstr>
      <vt:lpstr>TeamStats</vt:lpstr>
      <vt:lpstr>PlayerStats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axlsx</dc:creator>
  <cp:lastModifiedBy>Thalita ziero</cp:lastModifiedBy>
  <cp:revision>0</cp:revision>
  <dcterms:created xsi:type="dcterms:W3CDTF">2026-06-13T03:54:35Z</dcterms:created>
  <dcterms:modified xsi:type="dcterms:W3CDTF">2026-06-18T14:39:17Z</dcterms:modified>
</cp:coreProperties>
</file>