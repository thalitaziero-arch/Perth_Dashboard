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00" windowHeight="18060" tabRatio="600" firstSheet="0" activeTab="2" autoFilterDateGrouping="1"/>
  </bookViews>
  <sheets>
    <sheet xmlns:r="http://schemas.openxmlformats.org/officeDocument/2006/relationships" name="WyscoutReport" sheetId="1" state="visible" r:id="rId1"/>
    <sheet xmlns:r="http://schemas.openxmlformats.org/officeDocument/2006/relationships" name="TeamStats" sheetId="2" state="visible" r:id="rId2"/>
    <sheet xmlns:r="http://schemas.openxmlformats.org/officeDocument/2006/relationships" name="PlayerStats" sheetId="3" state="visible" r:id="rId3"/>
    <sheet xmlns:r="http://schemas.openxmlformats.org/officeDocument/2006/relationships" name="Dashboard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family val="1"/>
      <sz val="11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1"/>
    </font>
    <font>
      <name val="Arial"/>
      <family val="2"/>
      <i val="1"/>
      <color rgb="FF666666"/>
      <sz val="9"/>
    </font>
    <font>
      <name val="Arial"/>
      <family val="2"/>
      <b val="1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FF16284F"/>
      </patternFill>
    </fill>
    <fill>
      <patternFill patternType="solid">
        <fgColor rgb="FF009246"/>
      </patternFill>
    </fill>
    <fill>
      <patternFill patternType="solid">
        <fgColor rgb="FF1A3A6E"/>
      </patternFill>
    </fill>
    <fill>
      <patternFill patternType="solid">
        <fgColor rgb="FFCE2B37"/>
      </patternFill>
    </fill>
    <fill>
      <patternFill patternType="solid">
        <fgColor rgb="FF555555"/>
      </patternFill>
    </fill>
    <fill>
      <patternFill patternType="solid">
        <fgColor rgb="FF0C4A2E"/>
      </patternFill>
    </fill>
    <fill>
      <patternFill patternType="solid">
        <fgColor rgb="FF44444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FF9E6"/>
      </patternFill>
    </fill>
    <fill>
      <patternFill patternType="solid">
        <fgColor rgb="FFFFE8E8"/>
      </patternFill>
    </fill>
    <fill>
      <patternFill patternType="solid">
        <fgColor rgb="FFEEF0F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0" borderId="0" pivotButton="0" quotePrefix="0" xfId="0"/>
    <xf numFmtId="14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001250" cy="141351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10001250" cy="141351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160</row>
      <rowOff>0</rowOff>
    </from>
    <ext cx="10001250" cy="141351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238</row>
      <rowOff>0</rowOff>
    </from>
    <ext cx="10001250" cy="141351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316</row>
      <rowOff>0</rowOff>
    </from>
    <ext cx="10001250" cy="141351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:B1"/>
    </sheetView>
  </sheetViews>
  <sheetFormatPr baseColWidth="10" defaultColWidth="8.83203125" defaultRowHeight="14"/>
  <cols>
    <col width="4" customWidth="1" style="21" min="1" max="1"/>
    <col width="145" customWidth="1" style="21" min="2" max="2"/>
  </cols>
  <sheetData>
    <row r="1" ht="36" customHeight="1" s="21">
      <c r="A1" s="23" t="inlineStr">
        <is>
          <t>PERTH AZZURRI — WYSCOUT REPORT</t>
        </is>
      </c>
    </row>
    <row r="2" ht="18" customHeight="1" s="21">
      <c r="A2" s="25" t="inlineStr">
        <is>
          <t>Atualizar: substituir o PDF e rodar  python extract_wyscout.py</t>
        </is>
      </c>
    </row>
    <row r="4" ht="22" customHeight="1" s="21">
      <c r="A4" s="24" t="inlineStr">
        <is>
          <t xml:space="preserve">  Pág 2 · Players</t>
        </is>
      </c>
    </row>
    <row r="5" ht="15" customHeight="1" s="21"/>
    <row r="6" ht="15" customHeight="1" s="21"/>
    <row r="7" ht="15" customHeight="1" s="21"/>
    <row r="8" ht="15" customHeight="1" s="21"/>
    <row r="9" ht="15" customHeight="1" s="21"/>
    <row r="10" ht="15" customHeight="1" s="21"/>
    <row r="11" ht="15" customHeight="1" s="21"/>
    <row r="12" ht="15" customHeight="1" s="21"/>
    <row r="13" ht="15" customHeight="1" s="21"/>
    <row r="14" ht="15" customHeight="1" s="21"/>
    <row r="15" ht="15" customHeight="1" s="21"/>
    <row r="16" ht="15" customHeight="1" s="21"/>
    <row r="17" ht="15" customHeight="1" s="21"/>
    <row r="18" ht="15" customHeight="1" s="21"/>
    <row r="19" ht="15" customHeight="1" s="21"/>
    <row r="20" ht="15" customHeight="1" s="21"/>
    <row r="21" ht="15" customHeight="1" s="21"/>
    <row r="22" ht="15" customHeight="1" s="21"/>
    <row r="23" ht="15" customHeight="1" s="21"/>
    <row r="24" ht="15" customHeight="1" s="21"/>
    <row r="25" ht="15" customHeight="1" s="21"/>
    <row r="26" ht="15" customHeight="1" s="21"/>
    <row r="27" ht="15" customHeight="1" s="21"/>
    <row r="28" ht="15" customHeight="1" s="21"/>
    <row r="29" ht="15" customHeight="1" s="21"/>
    <row r="30" ht="15" customHeight="1" s="21"/>
    <row r="31" ht="15" customHeight="1" s="21"/>
    <row r="32" ht="15" customHeight="1" s="21"/>
    <row r="33" ht="15" customHeight="1" s="21"/>
    <row r="34" ht="15" customHeight="1" s="21"/>
    <row r="35" ht="15" customHeight="1" s="21"/>
    <row r="36" ht="15" customHeight="1" s="21"/>
    <row r="37" ht="15" customHeight="1" s="21"/>
    <row r="38" ht="15" customHeight="1" s="21"/>
    <row r="39" ht="15" customHeight="1" s="21"/>
    <row r="40" ht="15" customHeight="1" s="21"/>
    <row r="41" ht="15" customHeight="1" s="21"/>
    <row r="42" ht="15" customHeight="1" s="21"/>
    <row r="43" ht="15" customHeight="1" s="21"/>
    <row r="44" ht="15" customHeight="1" s="21"/>
    <row r="45" ht="15" customHeight="1" s="21"/>
    <row r="46" ht="15" customHeight="1" s="21"/>
    <row r="47" ht="15" customHeight="1" s="21"/>
    <row r="48" ht="15" customHeight="1" s="21"/>
    <row r="49" ht="15" customHeight="1" s="21"/>
    <row r="50" ht="15" customHeight="1" s="21"/>
    <row r="51" ht="15" customHeight="1" s="21"/>
    <row r="52" ht="15" customHeight="1" s="21"/>
    <row r="53" ht="15" customHeight="1" s="21"/>
    <row r="54" ht="15" customHeight="1" s="21"/>
    <row r="55" ht="15" customHeight="1" s="21"/>
    <row r="56" ht="15" customHeight="1" s="21"/>
    <row r="57" ht="15" customHeight="1" s="21"/>
    <row r="58" ht="15" customHeight="1" s="21"/>
    <row r="59" ht="15" customHeight="1" s="21"/>
    <row r="60" ht="15" customHeight="1" s="21"/>
    <row r="61" ht="15" customHeight="1" s="21"/>
    <row r="62" ht="15" customHeight="1" s="21"/>
    <row r="63" ht="15" customHeight="1" s="21"/>
    <row r="64" ht="15" customHeight="1" s="21"/>
    <row r="65" ht="15" customHeight="1" s="21"/>
    <row r="66" ht="15" customHeight="1" s="21"/>
    <row r="67" ht="15" customHeight="1" s="21"/>
    <row r="68" ht="15" customHeight="1" s="21"/>
    <row r="69" ht="15" customHeight="1" s="21"/>
    <row r="70" ht="15" customHeight="1" s="21"/>
    <row r="71" ht="15" customHeight="1" s="21"/>
    <row r="72" ht="15" customHeight="1" s="21"/>
    <row r="73" ht="15" customHeight="1" s="21"/>
    <row r="74" ht="15" customHeight="1" s="21"/>
    <row r="75" ht="15" customHeight="1" s="21"/>
    <row r="76" ht="15" customHeight="1" s="21"/>
    <row r="77" ht="15" customHeight="1" s="21"/>
    <row r="78" ht="15" customHeight="1" s="21"/>
    <row r="79" ht="15" customHeight="1" s="21"/>
    <row r="82" ht="22" customHeight="1" s="21">
      <c r="A82" s="24" t="inlineStr">
        <is>
          <t xml:space="preserve">  Pág 3 · Player Stats — General</t>
        </is>
      </c>
    </row>
    <row r="83" ht="15" customHeight="1" s="21"/>
    <row r="84" ht="15" customHeight="1" s="21"/>
    <row r="85" ht="15" customHeight="1" s="21"/>
    <row r="86" ht="15" customHeight="1" s="21"/>
    <row r="87" ht="15" customHeight="1" s="21"/>
    <row r="88" ht="15" customHeight="1" s="21"/>
    <row r="89" ht="15" customHeight="1" s="21"/>
    <row r="90" ht="15" customHeight="1" s="21"/>
    <row r="91" ht="15" customHeight="1" s="21"/>
    <row r="92" ht="15" customHeight="1" s="21"/>
    <row r="93" ht="15" customHeight="1" s="21"/>
    <row r="94" ht="15" customHeight="1" s="21"/>
    <row r="95" ht="15" customHeight="1" s="21"/>
    <row r="96" ht="15" customHeight="1" s="21"/>
    <row r="97" ht="15" customHeight="1" s="21"/>
    <row r="98" ht="15" customHeight="1" s="21"/>
    <row r="99" ht="15" customHeight="1" s="21"/>
    <row r="100" ht="15" customHeight="1" s="21"/>
    <row r="101" ht="15" customHeight="1" s="21"/>
    <row r="102" ht="15" customHeight="1" s="21"/>
    <row r="103" ht="15" customHeight="1" s="21"/>
    <row r="104" ht="15" customHeight="1" s="21"/>
    <row r="105" ht="15" customHeight="1" s="21"/>
    <row r="106" ht="15" customHeight="1" s="21"/>
    <row r="107" ht="15" customHeight="1" s="21"/>
    <row r="108" ht="15" customHeight="1" s="21"/>
    <row r="109" ht="15" customHeight="1" s="21"/>
    <row r="110" ht="15" customHeight="1" s="21"/>
    <row r="111" ht="15" customHeight="1" s="21"/>
    <row r="112" ht="15" customHeight="1" s="21"/>
    <row r="113" ht="15" customHeight="1" s="21"/>
    <row r="114" ht="15" customHeight="1" s="21"/>
    <row r="115" ht="15" customHeight="1" s="21"/>
    <row r="116" ht="15" customHeight="1" s="21"/>
    <row r="117" ht="15" customHeight="1" s="21"/>
    <row r="118" ht="15" customHeight="1" s="21"/>
    <row r="119" ht="15" customHeight="1" s="21"/>
    <row r="120" ht="15" customHeight="1" s="21"/>
    <row r="121" ht="15" customHeight="1" s="21"/>
    <row r="122" ht="15" customHeight="1" s="21"/>
    <row r="123" ht="15" customHeight="1" s="21"/>
    <row r="124" ht="15" customHeight="1" s="21"/>
    <row r="125" ht="15" customHeight="1" s="21"/>
    <row r="126" ht="15" customHeight="1" s="21"/>
    <row r="127" ht="15" customHeight="1" s="21"/>
    <row r="128" ht="15" customHeight="1" s="21"/>
    <row r="129" ht="15" customHeight="1" s="21"/>
    <row r="130" ht="15" customHeight="1" s="21"/>
    <row r="131" ht="15" customHeight="1" s="21"/>
    <row r="132" ht="15" customHeight="1" s="21"/>
    <row r="133" ht="15" customHeight="1" s="21"/>
    <row r="134" ht="15" customHeight="1" s="21"/>
    <row r="135" ht="15" customHeight="1" s="21"/>
    <row r="136" ht="15" customHeight="1" s="21"/>
    <row r="137" ht="15" customHeight="1" s="21"/>
    <row r="138" ht="15" customHeight="1" s="21"/>
    <row r="139" ht="15" customHeight="1" s="21"/>
    <row r="140" ht="15" customHeight="1" s="21"/>
    <row r="141" ht="15" customHeight="1" s="21"/>
    <row r="142" ht="15" customHeight="1" s="21"/>
    <row r="143" ht="15" customHeight="1" s="21"/>
    <row r="144" ht="15" customHeight="1" s="21"/>
    <row r="145" ht="15" customHeight="1" s="21"/>
    <row r="146" ht="15" customHeight="1" s="21"/>
    <row r="147" ht="15" customHeight="1" s="21"/>
    <row r="148" ht="15" customHeight="1" s="21"/>
    <row r="149" ht="15" customHeight="1" s="21"/>
    <row r="150" ht="15" customHeight="1" s="21"/>
    <row r="151" ht="15" customHeight="1" s="21"/>
    <row r="152" ht="15" customHeight="1" s="21"/>
    <row r="153" ht="15" customHeight="1" s="21"/>
    <row r="154" ht="15" customHeight="1" s="21"/>
    <row r="155" ht="15" customHeight="1" s="21"/>
    <row r="156" ht="15" customHeight="1" s="21"/>
    <row r="157" ht="15" customHeight="1" s="21"/>
    <row r="160" ht="22" customHeight="1" s="21">
      <c r="A160" s="24" t="inlineStr">
        <is>
          <t xml:space="preserve">  Pág 4 · Player Stats — Passing</t>
        </is>
      </c>
    </row>
    <row r="161" ht="15" customHeight="1" s="21"/>
    <row r="162" ht="15" customHeight="1" s="21"/>
    <row r="163" ht="15" customHeight="1" s="21"/>
    <row r="164" ht="15" customHeight="1" s="21"/>
    <row r="165" ht="15" customHeight="1" s="21"/>
    <row r="166" ht="15" customHeight="1" s="21"/>
    <row r="167" ht="15" customHeight="1" s="21"/>
    <row r="168" ht="15" customHeight="1" s="21"/>
    <row r="169" ht="15" customHeight="1" s="21"/>
    <row r="170" ht="15" customHeight="1" s="21"/>
    <row r="171" ht="15" customHeight="1" s="21"/>
    <row r="172" ht="15" customHeight="1" s="21"/>
    <row r="173" ht="15" customHeight="1" s="21"/>
    <row r="174" ht="15" customHeight="1" s="21"/>
    <row r="175" ht="15" customHeight="1" s="21"/>
    <row r="176" ht="15" customHeight="1" s="21"/>
    <row r="177" ht="15" customHeight="1" s="21"/>
    <row r="178" ht="15" customHeight="1" s="21"/>
    <row r="179" ht="15" customHeight="1" s="21"/>
    <row r="180" ht="15" customHeight="1" s="21"/>
    <row r="181" ht="15" customHeight="1" s="21"/>
    <row r="182" ht="15" customHeight="1" s="21"/>
    <row r="183" ht="15" customHeight="1" s="21"/>
    <row r="184" ht="15" customHeight="1" s="21"/>
    <row r="185" ht="15" customHeight="1" s="21"/>
    <row r="186" ht="15" customHeight="1" s="21"/>
    <row r="187" ht="15" customHeight="1" s="21"/>
    <row r="188" ht="15" customHeight="1" s="21"/>
    <row r="189" ht="15" customHeight="1" s="21"/>
    <row r="190" ht="15" customHeight="1" s="21"/>
    <row r="191" ht="15" customHeight="1" s="21"/>
    <row r="192" ht="15" customHeight="1" s="21"/>
    <row r="193" ht="15" customHeight="1" s="21"/>
    <row r="194" ht="15" customHeight="1" s="21"/>
    <row r="195" ht="15" customHeight="1" s="21"/>
    <row r="196" ht="15" customHeight="1" s="21"/>
    <row r="197" ht="15" customHeight="1" s="21"/>
    <row r="198" ht="15" customHeight="1" s="21"/>
    <row r="199" ht="15" customHeight="1" s="21"/>
    <row r="200" ht="15" customHeight="1" s="21"/>
    <row r="201" ht="15" customHeight="1" s="21"/>
    <row r="202" ht="15" customHeight="1" s="21"/>
    <row r="203" ht="15" customHeight="1" s="21"/>
    <row r="204" ht="15" customHeight="1" s="21"/>
    <row r="205" ht="15" customHeight="1" s="21"/>
    <row r="206" ht="15" customHeight="1" s="21"/>
    <row r="207" ht="15" customHeight="1" s="21"/>
    <row r="208" ht="15" customHeight="1" s="21"/>
    <row r="209" ht="15" customHeight="1" s="21"/>
    <row r="210" ht="15" customHeight="1" s="21"/>
    <row r="211" ht="15" customHeight="1" s="21"/>
    <row r="212" ht="15" customHeight="1" s="21"/>
    <row r="213" ht="15" customHeight="1" s="21"/>
    <row r="214" ht="15" customHeight="1" s="21"/>
    <row r="215" ht="15" customHeight="1" s="21"/>
    <row r="216" ht="15" customHeight="1" s="21"/>
    <row r="217" ht="15" customHeight="1" s="21"/>
    <row r="218" ht="15" customHeight="1" s="21"/>
    <row r="219" ht="15" customHeight="1" s="21"/>
    <row r="220" ht="15" customHeight="1" s="21"/>
    <row r="221" ht="15" customHeight="1" s="21"/>
    <row r="222" ht="15" customHeight="1" s="21"/>
    <row r="223" ht="15" customHeight="1" s="21"/>
    <row r="224" ht="15" customHeight="1" s="21"/>
    <row r="225" ht="15" customHeight="1" s="21"/>
    <row r="226" ht="15" customHeight="1" s="21"/>
    <row r="227" ht="15" customHeight="1" s="21"/>
    <row r="228" ht="15" customHeight="1" s="21"/>
    <row r="229" ht="15" customHeight="1" s="21"/>
    <row r="230" ht="15" customHeight="1" s="21"/>
    <row r="231" ht="15" customHeight="1" s="21"/>
    <row r="232" ht="15" customHeight="1" s="21"/>
    <row r="233" ht="15" customHeight="1" s="21"/>
    <row r="234" ht="15" customHeight="1" s="21"/>
    <row r="235" ht="15" customHeight="1" s="21"/>
    <row r="238" ht="22" customHeight="1" s="21">
      <c r="A238" s="24" t="inlineStr">
        <is>
          <t xml:space="preserve">  Pág 5 · Formations</t>
        </is>
      </c>
    </row>
    <row r="239" ht="15" customHeight="1" s="21"/>
    <row r="240" ht="15" customHeight="1" s="21"/>
    <row r="241" ht="15" customHeight="1" s="21"/>
    <row r="242" ht="15" customHeight="1" s="21"/>
    <row r="243" ht="15" customHeight="1" s="21"/>
    <row r="244" ht="15" customHeight="1" s="21"/>
    <row r="245" ht="15" customHeight="1" s="21"/>
    <row r="246" ht="15" customHeight="1" s="21"/>
    <row r="247" ht="15" customHeight="1" s="21"/>
    <row r="248" ht="15" customHeight="1" s="21"/>
    <row r="249" ht="15" customHeight="1" s="21"/>
    <row r="250" ht="15" customHeight="1" s="21"/>
    <row r="251" ht="15" customHeight="1" s="21"/>
    <row r="252" ht="15" customHeight="1" s="21"/>
    <row r="253" ht="15" customHeight="1" s="21"/>
    <row r="254" ht="15" customHeight="1" s="21"/>
    <row r="255" ht="15" customHeight="1" s="21"/>
    <row r="256" ht="15" customHeight="1" s="21"/>
    <row r="257" ht="15" customHeight="1" s="21"/>
    <row r="258" ht="15" customHeight="1" s="21"/>
    <row r="259" ht="15" customHeight="1" s="21"/>
    <row r="260" ht="15" customHeight="1" s="21"/>
    <row r="261" ht="15" customHeight="1" s="21"/>
    <row r="262" ht="15" customHeight="1" s="21"/>
    <row r="263" ht="15" customHeight="1" s="21"/>
    <row r="264" ht="15" customHeight="1" s="21"/>
    <row r="265" ht="15" customHeight="1" s="21"/>
    <row r="266" ht="15" customHeight="1" s="21"/>
    <row r="267" ht="15" customHeight="1" s="21"/>
    <row r="268" ht="15" customHeight="1" s="21"/>
    <row r="269" ht="15" customHeight="1" s="21"/>
    <row r="270" ht="15" customHeight="1" s="21"/>
    <row r="271" ht="15" customHeight="1" s="21"/>
    <row r="272" ht="15" customHeight="1" s="21"/>
    <row r="273" ht="15" customHeight="1" s="21"/>
    <row r="274" ht="15" customHeight="1" s="21"/>
    <row r="275" ht="15" customHeight="1" s="21"/>
    <row r="276" ht="15" customHeight="1" s="21"/>
    <row r="277" ht="15" customHeight="1" s="21"/>
    <row r="278" ht="15" customHeight="1" s="21"/>
    <row r="279" ht="15" customHeight="1" s="21"/>
    <row r="280" ht="15" customHeight="1" s="21"/>
    <row r="281" ht="15" customHeight="1" s="21"/>
    <row r="282" ht="15" customHeight="1" s="21"/>
    <row r="283" ht="15" customHeight="1" s="21"/>
    <row r="284" ht="15" customHeight="1" s="21"/>
    <row r="285" ht="15" customHeight="1" s="21"/>
    <row r="286" ht="15" customHeight="1" s="21"/>
    <row r="287" ht="15" customHeight="1" s="21"/>
    <row r="288" ht="15" customHeight="1" s="21"/>
    <row r="289" ht="15" customHeight="1" s="21"/>
    <row r="290" ht="15" customHeight="1" s="21"/>
    <row r="291" ht="15" customHeight="1" s="21"/>
    <row r="292" ht="15" customHeight="1" s="21"/>
    <row r="293" ht="15" customHeight="1" s="21"/>
    <row r="294" ht="15" customHeight="1" s="21"/>
    <row r="295" ht="15" customHeight="1" s="21"/>
    <row r="296" ht="15" customHeight="1" s="21"/>
    <row r="297" ht="15" customHeight="1" s="21"/>
    <row r="298" ht="15" customHeight="1" s="21"/>
    <row r="299" ht="15" customHeight="1" s="21"/>
    <row r="300" ht="15" customHeight="1" s="21"/>
    <row r="301" ht="15" customHeight="1" s="21"/>
    <row r="302" ht="15" customHeight="1" s="21"/>
    <row r="303" ht="15" customHeight="1" s="21"/>
    <row r="304" ht="15" customHeight="1" s="21"/>
    <row r="305" ht="15" customHeight="1" s="21"/>
    <row r="306" ht="15" customHeight="1" s="21"/>
    <row r="307" ht="15" customHeight="1" s="21"/>
    <row r="308" ht="15" customHeight="1" s="21"/>
    <row r="309" ht="15" customHeight="1" s="21"/>
    <row r="310" ht="15" customHeight="1" s="21"/>
    <row r="311" ht="15" customHeight="1" s="21"/>
    <row r="312" ht="15" customHeight="1" s="21"/>
    <row r="313" ht="15" customHeight="1" s="21"/>
    <row r="316" ht="22" customHeight="1" s="21">
      <c r="A316" s="24" t="inlineStr">
        <is>
          <t xml:space="preserve">  Pág 19 · Finishing</t>
        </is>
      </c>
    </row>
    <row r="317" ht="15" customHeight="1" s="21"/>
    <row r="318" ht="15" customHeight="1" s="21"/>
    <row r="319" ht="15" customHeight="1" s="21"/>
    <row r="320" ht="15" customHeight="1" s="21"/>
    <row r="321" ht="15" customHeight="1" s="21"/>
    <row r="322" ht="15" customHeight="1" s="21"/>
    <row r="323" ht="15" customHeight="1" s="21"/>
    <row r="324" ht="15" customHeight="1" s="21"/>
    <row r="325" ht="15" customHeight="1" s="21"/>
    <row r="326" ht="15" customHeight="1" s="21"/>
    <row r="327" ht="15" customHeight="1" s="21"/>
    <row r="328" ht="15" customHeight="1" s="21"/>
    <row r="329" ht="15" customHeight="1" s="21"/>
    <row r="330" ht="15" customHeight="1" s="21"/>
    <row r="331" ht="15" customHeight="1" s="21"/>
    <row r="332" ht="15" customHeight="1" s="21"/>
    <row r="333" ht="15" customHeight="1" s="21"/>
    <row r="334" ht="15" customHeight="1" s="21"/>
    <row r="335" ht="15" customHeight="1" s="21"/>
    <row r="336" ht="15" customHeight="1" s="21"/>
    <row r="337" ht="15" customHeight="1" s="21"/>
    <row r="338" ht="15" customHeight="1" s="21"/>
    <row r="339" ht="15" customHeight="1" s="21"/>
    <row r="340" ht="15" customHeight="1" s="21"/>
    <row r="341" ht="15" customHeight="1" s="21"/>
    <row r="342" ht="15" customHeight="1" s="21"/>
    <row r="343" ht="15" customHeight="1" s="21"/>
    <row r="344" ht="15" customHeight="1" s="21"/>
    <row r="345" ht="15" customHeight="1" s="21"/>
    <row r="346" ht="15" customHeight="1" s="21"/>
    <row r="347" ht="15" customHeight="1" s="21"/>
    <row r="348" ht="15" customHeight="1" s="21"/>
    <row r="349" ht="15" customHeight="1" s="21"/>
    <row r="350" ht="15" customHeight="1" s="21"/>
    <row r="351" ht="15" customHeight="1" s="21"/>
    <row r="352" ht="15" customHeight="1" s="21"/>
    <row r="353" ht="15" customHeight="1" s="21"/>
    <row r="354" ht="15" customHeight="1" s="21"/>
    <row r="355" ht="15" customHeight="1" s="21"/>
    <row r="356" ht="15" customHeight="1" s="21"/>
    <row r="357" ht="15" customHeight="1" s="21"/>
    <row r="358" ht="15" customHeight="1" s="21"/>
    <row r="359" ht="15" customHeight="1" s="21"/>
    <row r="360" ht="15" customHeight="1" s="21"/>
    <row r="361" ht="15" customHeight="1" s="21"/>
    <row r="362" ht="15" customHeight="1" s="21"/>
    <row r="363" ht="15" customHeight="1" s="21"/>
    <row r="364" ht="15" customHeight="1" s="21"/>
    <row r="365" ht="15" customHeight="1" s="21"/>
    <row r="366" ht="15" customHeight="1" s="21"/>
    <row r="367" ht="15" customHeight="1" s="21"/>
    <row r="368" ht="15" customHeight="1" s="21"/>
    <row r="369" ht="15" customHeight="1" s="21"/>
    <row r="370" ht="15" customHeight="1" s="21"/>
    <row r="371" ht="15" customHeight="1" s="21"/>
    <row r="372" ht="15" customHeight="1" s="21"/>
    <row r="373" ht="15" customHeight="1" s="21"/>
    <row r="374" ht="15" customHeight="1" s="21"/>
    <row r="375" ht="15" customHeight="1" s="21"/>
    <row r="376" ht="15" customHeight="1" s="21"/>
    <row r="377" ht="15" customHeight="1" s="21"/>
    <row r="378" ht="15" customHeight="1" s="21"/>
    <row r="379" ht="15" customHeight="1" s="21"/>
    <row r="380" ht="15" customHeight="1" s="21"/>
    <row r="381" ht="15" customHeight="1" s="21"/>
    <row r="382" ht="15" customHeight="1" s="21"/>
    <row r="383" ht="15" customHeight="1" s="21"/>
    <row r="384" ht="15" customHeight="1" s="21"/>
    <row r="385" ht="15" customHeight="1" s="21"/>
    <row r="386" ht="15" customHeight="1" s="21"/>
    <row r="387" ht="15" customHeight="1" s="21"/>
    <row r="388" ht="15" customHeight="1" s="21"/>
    <row r="389" ht="15" customHeight="1" s="21"/>
    <row r="390" ht="15" customHeight="1" s="21"/>
    <row r="391" ht="15" customHeight="1" s="21"/>
  </sheetData>
  <mergeCells count="7">
    <mergeCell ref="A4:B4"/>
    <mergeCell ref="A2:B2"/>
    <mergeCell ref="A82:B82"/>
    <mergeCell ref="A316:B316"/>
    <mergeCell ref="A160:B160"/>
    <mergeCell ref="A1:B1"/>
    <mergeCell ref="A238:B23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29"/>
  <sheetViews>
    <sheetView showOutlineSymbols="0" showWhiteSpace="0" topLeftCell="AH1" workbookViewId="0">
      <selection activeCell="BJ28" sqref="BJ28:BZ42"/>
    </sheetView>
  </sheetViews>
  <sheetFormatPr baseColWidth="10" defaultColWidth="8.83203125" defaultRowHeight="14"/>
  <cols>
    <col width="11.83203125" customWidth="1" style="21" min="1" max="1"/>
    <col width="22.83203125" customWidth="1" style="21" min="2" max="2"/>
    <col width="24" bestFit="1" customWidth="1" style="21" min="3" max="3"/>
    <col width="7.5" bestFit="1" customWidth="1" style="21" min="4" max="4"/>
    <col width="13" bestFit="1" customWidth="1" style="21" min="5" max="5"/>
    <col width="14.1640625" bestFit="1" customWidth="1" style="21" min="6" max="6"/>
    <col width="5.33203125" bestFit="1" customWidth="1" style="21" min="7" max="7"/>
    <col width="6.33203125" bestFit="1" customWidth="1" style="21" min="8" max="8"/>
    <col width="15.1640625" bestFit="1" customWidth="1" style="21" min="9" max="9"/>
    <col width="6.33203125" bestFit="1" customWidth="1" style="21" min="10" max="10"/>
    <col width="7.5" bestFit="1" customWidth="1" style="21" min="11" max="11"/>
    <col width="10.83203125" bestFit="1" customWidth="1" style="21" min="12" max="12"/>
    <col width="7.5" bestFit="1" customWidth="1" style="21" min="13" max="14"/>
    <col width="11.83203125" bestFit="1" customWidth="1" style="21" min="15" max="15"/>
    <col width="26.1640625" bestFit="1" customWidth="1" style="21" min="16" max="16"/>
    <col width="6.33203125" bestFit="1" customWidth="1" style="21" min="17" max="18"/>
    <col width="7.5" bestFit="1" customWidth="1" style="21" min="19" max="19"/>
    <col width="30.6640625" bestFit="1" customWidth="1" style="21" min="20" max="20"/>
    <col width="6.33203125" bestFit="1" customWidth="1" style="21" min="21" max="23"/>
    <col width="13" bestFit="1" customWidth="1" style="21" min="24" max="24"/>
    <col width="7.5" bestFit="1" customWidth="1" style="21" min="25" max="26"/>
    <col width="31.6640625" bestFit="1" customWidth="1" style="21" min="27" max="27"/>
    <col width="5.33203125" bestFit="1" customWidth="1" style="21" min="28" max="28"/>
    <col width="7.5" bestFit="1" customWidth="1" style="21" min="29" max="29"/>
    <col width="17.33203125" bestFit="1" customWidth="1" style="21" min="30" max="30"/>
    <col width="5.33203125" bestFit="1" customWidth="1" style="21" min="31" max="31"/>
    <col width="7.5" bestFit="1" customWidth="1" style="21" min="32" max="32"/>
    <col width="18.5" bestFit="1" customWidth="1" style="21" min="33" max="33"/>
    <col width="4.1640625" bestFit="1" customWidth="1" style="21" min="34" max="34"/>
    <col width="7.5" bestFit="1" customWidth="1" style="21" min="35" max="35"/>
    <col width="16.33203125" bestFit="1" customWidth="1" style="21" min="36" max="36"/>
    <col width="5.33203125" bestFit="1" customWidth="1" style="21" min="37" max="37"/>
    <col width="7.5" bestFit="1" customWidth="1" style="21" min="38" max="38"/>
    <col width="11.83203125" bestFit="1" customWidth="1" style="21" min="39" max="39"/>
    <col width="5.33203125" bestFit="1" customWidth="1" style="21" min="40" max="40"/>
    <col width="7.5" bestFit="1" customWidth="1" style="21" min="41" max="41"/>
    <col width="18.5" bestFit="1" customWidth="1" style="21" min="42" max="44"/>
    <col width="19.6640625" bestFit="1" customWidth="1" style="21" min="45" max="45"/>
    <col width="6.33203125" bestFit="1" customWidth="1" style="21" min="46" max="46"/>
    <col width="7.5" bestFit="1" customWidth="1" style="21" min="47" max="47"/>
    <col width="14.1640625" bestFit="1" customWidth="1" style="21" min="48" max="48"/>
    <col width="18.5" bestFit="1" customWidth="1" style="21" min="49" max="49"/>
    <col width="6.33203125" bestFit="1" customWidth="1" style="21" min="50" max="50"/>
    <col width="7.5" bestFit="1" customWidth="1" style="21" min="51" max="51"/>
    <col width="20.6640625" bestFit="1" customWidth="1" style="21" min="52" max="52"/>
    <col width="7.5" bestFit="1" customWidth="1" style="21" min="53" max="54"/>
    <col width="16.33203125" bestFit="1" customWidth="1" style="21" min="55" max="55"/>
    <col width="6.33203125" bestFit="1" customWidth="1" style="21" min="56" max="56"/>
    <col width="7.5" bestFit="1" customWidth="1" style="21" min="57" max="57"/>
    <col width="16.33203125" bestFit="1" customWidth="1" style="21" min="58" max="58"/>
    <col width="5.33203125" bestFit="1" customWidth="1" style="21" min="59" max="59"/>
    <col width="7.5" bestFit="1" customWidth="1" style="21" min="60" max="60"/>
    <col width="9.6640625" bestFit="1" customWidth="1" style="21" min="61" max="61"/>
    <col width="7.5" bestFit="1" customWidth="1" style="21" min="62" max="62"/>
    <col width="6.33203125" bestFit="1" customWidth="1" style="21" min="63" max="63"/>
    <col width="9.6640625" bestFit="1" customWidth="1" style="21" min="64" max="64"/>
    <col width="8.6640625" bestFit="1" customWidth="1" style="21" min="65" max="65"/>
    <col width="15.1640625" bestFit="1" customWidth="1" style="21" min="66" max="66"/>
    <col width="7.5" bestFit="1" customWidth="1" style="21" min="67" max="68"/>
    <col width="15.1640625" bestFit="1" customWidth="1" style="21" min="69" max="69"/>
    <col width="6.33203125" bestFit="1" customWidth="1" style="21" min="70" max="70"/>
    <col width="7.5" bestFit="1" customWidth="1" style="21" min="71" max="71"/>
    <col width="18.5" bestFit="1" customWidth="1" style="21" min="72" max="72"/>
    <col width="6.33203125" bestFit="1" customWidth="1" style="21" min="73" max="73"/>
    <col width="7.5" bestFit="1" customWidth="1" style="21" min="74" max="74"/>
    <col width="18.5" bestFit="1" customWidth="1" style="21" min="75" max="75"/>
    <col width="7.5" bestFit="1" customWidth="1" style="21" min="76" max="77"/>
    <col width="15.1640625" bestFit="1" customWidth="1" style="21" min="78" max="78"/>
    <col width="6.33203125" bestFit="1" customWidth="1" style="21" min="79" max="79"/>
    <col width="7.5" bestFit="1" customWidth="1" style="21" min="80" max="81"/>
  </cols>
  <sheetData>
    <row r="1" ht="56" customHeight="1" s="2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 / on target</t>
        </is>
      </c>
      <c r="L1" t="inlineStr">
        <is>
          <t>Possession, %</t>
        </is>
      </c>
      <c r="M1" t="inlineStr">
        <is>
          <t>Losses / Low / Medium / High</t>
        </is>
      </c>
      <c r="Q1" t="inlineStr">
        <is>
          <t>Recoveries / Low / Medium / High</t>
        </is>
      </c>
      <c r="U1" t="inlineStr">
        <is>
          <t>Duels / won</t>
        </is>
      </c>
      <c r="X1" t="inlineStr">
        <is>
          <t>Shots from outside penalty area / on target</t>
        </is>
      </c>
      <c r="AA1" t="inlineStr">
        <is>
          <t>Positional attacks / with shots</t>
        </is>
      </c>
      <c r="AD1" t="inlineStr">
        <is>
          <t>Set pieces / with shots</t>
        </is>
      </c>
      <c r="AG1" t="inlineStr">
        <is>
          <t>Corners / with shots</t>
        </is>
      </c>
      <c r="AJ1" t="inlineStr">
        <is>
          <t>Crosses / accurate</t>
        </is>
      </c>
      <c r="AM1" t="inlineStr">
        <is>
          <t>Deep completed passes</t>
        </is>
      </c>
      <c r="AN1" t="inlineStr">
        <is>
          <t>Touches in penalty area</t>
        </is>
      </c>
      <c r="AO1" t="inlineStr">
        <is>
          <t>Offensive duels / won</t>
        </is>
      </c>
      <c r="AR1" t="inlineStr">
        <is>
          <t>Conceded goals</t>
        </is>
      </c>
      <c r="AS1" t="inlineStr">
        <is>
          <t>Shots against / on target</t>
        </is>
      </c>
      <c r="AV1" t="inlineStr">
        <is>
          <t>Defensive duels / won</t>
        </is>
      </c>
      <c r="AY1" t="inlineStr">
        <is>
          <t>Aerial duels / won</t>
        </is>
      </c>
      <c r="BB1" t="inlineStr">
        <is>
          <t>Sliding tackles / successful</t>
        </is>
      </c>
      <c r="BE1" t="inlineStr">
        <is>
          <t>Interceptions</t>
        </is>
      </c>
      <c r="BF1" t="inlineStr">
        <is>
          <t>Clearances</t>
        </is>
      </c>
      <c r="BG1" t="inlineStr">
        <is>
          <t>Fouls</t>
        </is>
      </c>
      <c r="BH1" t="inlineStr">
        <is>
          <t>Yellow cards</t>
        </is>
      </c>
      <c r="BI1" t="inlineStr">
        <is>
          <t>Red cards</t>
        </is>
      </c>
      <c r="BJ1" t="inlineStr">
        <is>
          <t>Forward passes / accurate</t>
        </is>
      </c>
      <c r="BM1" t="inlineStr">
        <is>
          <t>Long passes / accurate</t>
        </is>
      </c>
      <c r="BP1" t="inlineStr">
        <is>
          <t>Passes to final third / accurate</t>
        </is>
      </c>
      <c r="BS1" t="inlineStr">
        <is>
          <t>Progressive passes / accurate</t>
        </is>
      </c>
      <c r="BV1" t="inlineStr">
        <is>
          <t>Throw ins / accurate</t>
        </is>
      </c>
      <c r="BY1" t="inlineStr">
        <is>
          <t>PPDA</t>
        </is>
      </c>
    </row>
    <row r="2">
      <c r="A2" s="1" t="inlineStr">
        <is>
          <t>Perth</t>
        </is>
      </c>
      <c r="B2" s="1" t="n"/>
      <c r="C2" s="1" t="n"/>
      <c r="D2" s="1" t="n"/>
      <c r="E2" s="1" t="n"/>
      <c r="F2" s="1" t="n"/>
      <c r="G2" s="1">
        <f>AVERAGE(G4,G6,G8,G10,G12,G14,G16,G18,G20,G22,G24,G26,G28,G30,G32,G34,G36,G38,G40,G42,G44,G46,G48)</f>
        <v/>
      </c>
      <c r="H2" s="1">
        <f>AVERAGE(H4,H6,H8,H10,H12,H14,H16,H18,H20,H22,H24,H26,H28,H30,H32,H34,H36,H38,H40,H42,H44,H46,H48)</f>
        <v/>
      </c>
      <c r="I2" s="1">
        <f>AVERAGE(I4,I6,I8,I10,I12,I14,I16,I18,I20,I22,I24,I26,I28,I30,I32,I34,I36,I38,I40,I42,I44,I46,I48)</f>
        <v/>
      </c>
      <c r="J2" s="1">
        <f>AVERAGE(J4,J6,J8,J10,J12,J14,J16,J18,J20,J22,J24,J26,J28,J30,J32,J34,J36,J38,J40,J42,J44,J46,J48)</f>
        <v/>
      </c>
      <c r="K2" s="1">
        <f>IFERROR(SUM(J4,J6,J8,J10,J12,J14,J16,J18,J20,J22,J24,J26,J28,J30,J32,J34,J36,J38,J40,J42,J44,J46,J48)/SUM(I4,I6,I8,I10,I12,I14,I16,I18,I20,I22,I24,I26,I28,I30,I32,I34,I36,I38,I40,I42,I44,I46,I48)*100,0)</f>
        <v/>
      </c>
      <c r="L2" s="1">
        <f>AVERAGE(L4,L6,L8,L10,L12,L14,L16,L18,L20,L22,L24,L26,L28,L30,L32,L34,L36,L38,L40,L42,L44,L46,L48)</f>
        <v/>
      </c>
      <c r="M2" s="1">
        <f>AVERAGE(M4,M6,M8,M10,M12,M14,M16,M18,M20,M22,M24,M26,M28,M30,M32,M34,M36,M38,M40,M42,M44,M46,M48)</f>
        <v/>
      </c>
      <c r="N2" s="1">
        <f>AVERAGE(N4,N6,N8,N10,N12,N14,N16,N18,N20,N22,N24,N26,N28,N30,N32,N34,N36,N38,N40,N42,N44,N46,N48)</f>
        <v/>
      </c>
      <c r="O2" s="1">
        <f>AVERAGE(O4,O6,O8,O10,O12,O14,O16,O18,O20,O22,O24,O26,O28,O30,O32,O34,O36,O38,O40,O42,O44,O46,O48)</f>
        <v/>
      </c>
      <c r="P2" s="1">
        <f>AVERAGE(P4,P6,P8,P10,P12,P14,P16,P18,P20,P22,P24,P26,P28,P30,P32,P34,P36,P38,P40,P42,P44,P46,P48)</f>
        <v/>
      </c>
      <c r="Q2" s="1">
        <f>AVERAGE(Q4,Q6,Q8,Q10,Q12,Q14,Q16,Q18,Q20,Q22,Q24,Q26,Q28,Q30,Q32,Q34,Q36,Q38,Q40,Q42,Q44,Q46,Q48)</f>
        <v/>
      </c>
      <c r="R2" s="1">
        <f>AVERAGE(R4,R6,R8,R10,R12,R14,R16,R18,R20,R22,R24,R26,R28,R30,R32,R34,R36,R38,R40,R42,R44,R46,R48)</f>
        <v/>
      </c>
      <c r="S2" s="1">
        <f>AVERAGE(S4,S6,S8,S10,S12,S14,S16,S18,S20,S22,S24,S26,S28,S30,S32,S34,S36,S38,S40,S42,S44,S46,S48)</f>
        <v/>
      </c>
      <c r="T2" s="1">
        <f>AVERAGE(T4,T6,T8,T10,T12,T14,T16,T18,T20,T22,T24,T26,T28,T30,T32,T34,T36,T38,T40,T42,T44,T46,T48)</f>
        <v/>
      </c>
      <c r="U2" s="1">
        <f>AVERAGE(U4,U6,U8,U10,U12,U14,U16,U18,U20,U22,U24,U26,U28,U30,U32,U34,U36,U38,U40,U42,U44,U46,U48)</f>
        <v/>
      </c>
      <c r="V2" s="1">
        <f>AVERAGE(V4,V6,V8,V10,V12,V14,V16,V18,V20,V22,V24,V26,V28,V30,V32,V34,V36,V38,V40,V42,V44,V46,V48)</f>
        <v/>
      </c>
      <c r="W2" s="1">
        <f>IFERROR(SUM(V4,V6,V8,V10,V12,V14,V16,V18,V20,V22,V24,V26,V28,V30,V32,V34,V36,V38,V40,V42,V44,V46,V48)/SUM(U4,U6,U8,U10,U12,U14,U16,U18,U20,U22,U24,U26,U28,U30,U32,U34,U36,U38,U40,U42,U44,U46,U48)*100,0)</f>
        <v/>
      </c>
      <c r="X2" s="1">
        <f>AVERAGE(X4,X6,X8,X10,X12,X14,X16,X18,X20,X22,X24,X26,X28,X30,X32,X34,X36,X38,X40,X42,X44,X46,X48)</f>
        <v/>
      </c>
      <c r="Y2" s="1">
        <f>AVERAGE(Y4,Y6,Y8,Y10,Y12,Y14,Y16,Y18,Y20,Y22,Y24,Y26,Y28,Y30,Y32,Y34,Y36,Y38,Y40,Y42,Y44,Y46,Y48)</f>
        <v/>
      </c>
      <c r="Z2" s="1">
        <f>IFERROR(SUM(Y4,Y6,Y8,Y10,Y12,Y14,Y16,Y18,Y20,Y22,Y24,Y26,Y28,Y30,Y32,Y34,Y36,Y38,Y40,Y42,Y44,Y46,Y48)/SUM(X4,X6,X8,X10,X12,X14,X16,X18,X20,X22,X24,X26,X28,X30,X32,X34,X36,X38,X40,X42,X44,X46,X48)*100,0)</f>
        <v/>
      </c>
      <c r="AA2" s="1">
        <f>AVERAGE(AA4,AA6,AA8,AA10,AA12,AA14,AA16,AA18,AA20,AA22,AA24,AA26,AA28,AA30,AA32,AA34,AA36,AA38,AA40,AA42,AA44,AA46,AA48)</f>
        <v/>
      </c>
      <c r="AB2" s="1">
        <f>AVERAGE(AB4,AB6,AB8,AB10,AB12,AB14,AB16,AB18,AB20,AB22,AB24,AB26,AB28,AB30,AB32,AB34,AB36,AB38,AB40,AB42,AB44,AB46,AB48)</f>
        <v/>
      </c>
      <c r="AC2" s="1">
        <f>IFERROR(SUM(AB4,AB6,AB8,AB10,AB12,AB14,AB16,AB18,AB20,AB22,AB24,AB26,AB28,AB30,AB32,AB34,AB36,AB38,AB40,AB42,AB44,AB46,AB48)/SUM(AA4,AA6,AA8,AA10,AA12,AA14,AA16,AA18,AA20,AA22,AA24,AA26,AA28,AA30,AA32,AA34,AA36,AA38,AA40,AA42,AA44,AA46,AA48)*100,0)</f>
        <v/>
      </c>
      <c r="AD2" s="1">
        <f>AVERAGE(AD4,AD6,AD8,AD10,AD12,AD14,AD16,AD18,AD20,AD22,AD24,AD26,AD28,AD30,AD32,AD34,AD36,AD38,AD40,AD42,AD44,AD46,AD48)</f>
        <v/>
      </c>
      <c r="AE2" s="1">
        <f>AVERAGE(AE4,AE6,AE8,AE10,AE12,AE14,AE16,AE18,AE20,AE22,AE24,AE26,AE28,AE30,AE32,AE34,AE36,AE38,AE40,AE42,AE44,AE46,AE48)</f>
        <v/>
      </c>
      <c r="AF2" s="1">
        <f>IFERROR(SUM(AE4,AE6,AE8,AE10,AE12,AE14,AE16,AE18,AE20,AE22,AE24,AE26,AE28,AE30,AE32,AE34,AE36,AE38,AE40,AE42,AE44,AE46,AE48)/SUM(AD4,AD6,AD8,AD10,AD12,AD14,AD16,AD18,AD20,AD22,AD24,AD26,AD28,AD30,AD32,AD34,AD36,AD38,AD40,AD42,AD44,AD46,AD48)*100,0)</f>
        <v/>
      </c>
      <c r="AG2" s="1">
        <f>AVERAGE(AG4,AG6,AG8,AG10,AG12,AG14,AG16,AG18,AG20,AG22,AG24,AG26,AG28,AG30,AG32,AG34,AG36,AG38,AG40,AG42,AG44,AG46,AG48)</f>
        <v/>
      </c>
      <c r="AH2" s="1">
        <f>AVERAGE(AH4,AH6,AH8,AH10,AH12,AH14,AH16,AH18,AH20,AH22,AH24,AH26,AH28,AH30,AH32,AH34,AH36,AH38,AH40,AH42,AH44,AH46,AH48)</f>
        <v/>
      </c>
      <c r="AI2" s="1">
        <f>IFERROR(SUM(AH4,AH6,AH8,AH10,AH12,AH14,AH16,AH18,AH20,AH22,AH24,AH26,AH28,AH30,AH32,AH34,AH36,AH38,AH40,AH42,AH44,AH46,AH48)/SUM(AG4,AG6,AG8,AG10,AG12,AG14,AG16,AG18,AG20,AG22,AG24,AG26,AG28,AG30,AG32,AG34,AG36,AG38,AG40,AG42,AG44,AG46,AG48)*100,0)</f>
        <v/>
      </c>
      <c r="AJ2" s="1">
        <f>AVERAGE(AJ4,AJ6,AJ8,AJ10,AJ12,AJ14,AJ16,AJ18,AJ20,AJ22,AJ24,AJ26,AJ28,AJ30,AJ32,AJ34,AJ36,AJ38,AJ40,AJ42,AJ44,AJ46,AJ48)</f>
        <v/>
      </c>
      <c r="AK2" s="1">
        <f>AVERAGE(AK4,AK6,AK8,AK10,AK12,AK14,AK16,AK18,AK20,AK22,AK24,AK26,AK28,AK30,AK32,AK34,AK36,AK38,AK40,AK42,AK44,AK46,AK48)</f>
        <v/>
      </c>
      <c r="AL2" s="1">
        <f>IFERROR(SUM(AK4,AK6,AK8,AK10,AK12,AK14,AK16,AK18,AK20,AK22,AK24,AK26,AK28,AK30,AK32,AK34,AK36,AK38,AK40,AK42,AK44,AK46,AK48)/SUM(AJ4,AJ6,AJ8,AJ10,AJ12,AJ14,AJ16,AJ18,AJ20,AJ22,AJ24,AJ26,AJ28,AJ30,AJ32,AJ34,AJ36,AJ38,AJ40,AJ42,AJ44,AJ46,AJ48)*100,0)</f>
        <v/>
      </c>
      <c r="AM2" s="1">
        <f>AVERAGE(AM4,AM6,AM8,AM10,AM12,AM14,AM16,AM18,AM20,AM22,AM24,AM26,AM28,AM30,AM32,AM34,AM36,AM38,AM40,AM42,AM44,AM46,AM48)</f>
        <v/>
      </c>
      <c r="AN2" s="1">
        <f>AVERAGE(AN4,AN6,AN8,AN10,AN12,AN14,AN16,AN18,AN20,AN22,AN24,AN26,AN28,AN30,AN32,AN34,AN36,AN38,AN40,AN42,AN44,AN46,AN48)</f>
        <v/>
      </c>
      <c r="AO2" s="1">
        <f>AVERAGE(AO4,AO6,AO8,AO10,AO12,AO14,AO16,AO18,AO20,AO22,AO24,AO26,AO28,AO30,AO32,AO34,AO36,AO38,AO40,AO42,AO44,AO46,AO48)</f>
        <v/>
      </c>
      <c r="AP2" s="1">
        <f>AVERAGE(AP4,AP6,AP8,AP10,AP12,AP14,AP16,AP18,AP20,AP22,AP24,AP26,AP28,AP30,AP32,AP34,AP36,AP38,AP40,AP42,AP44,AP46,AP48)</f>
        <v/>
      </c>
      <c r="AQ2" s="1">
        <f>IFERROR(SUM(AP4,AP6,AP8,AP10,AP12,AP14,AP16,AP18,AP20,AP22,AP24,AP26,AP28,AP30,AP32,AP34,AP36,AP38,AP40,AP42,AP44,AP46,AP48)/SUM(AO4,AO6,AO8,AO10,AO12,AO14,AO16,AO18,AO20,AO22,AO24,AO26,AO28,AO30,AO32,AO34,AO36,AO38,AO40,AO42,AO44,AO46,AO48)*100,0)</f>
        <v/>
      </c>
      <c r="AR2" s="1">
        <f>AVERAGE(AR4,AR6,AR8,AR10,AR12,AR14,AR16,AR18,AR20,AR22,AR24,AR26,AR28,AR30,AR32,AR34,AR36,AR38,AR40,AR42,AR44,AR46,AR48)</f>
        <v/>
      </c>
      <c r="AS2" s="1">
        <f>AVERAGE(AS4,AS6,AS8,AS10,AS12,AS14,AS16,AS18,AS20,AS22,AS24,AS26,AS28,AS30,AS32,AS34,AS36,AS38,AS40,AS42,AS44,AS46,AS48)</f>
        <v/>
      </c>
      <c r="AT2" s="1">
        <f>AVERAGE(AT4,AT6,AT8,AT10,AT12,AT14,AT16,AT18,AT20,AT22,AT24,AT26,AT28,AT30,AT32,AT34,AT36,AT38,AT40,AT42,AT44,AT46,AT48)</f>
        <v/>
      </c>
      <c r="AU2" s="1">
        <f>IFERROR(SUM(AT4,AT6,AT8,AT10,AT12,AT14,AT16,AT18,AT20,AT22,AT24,AT26,AT28,AT30,AT32,AT34,AT36,AT38,AT40,AT42,AT44,AT46,AT48)/SUM(AS4,AS6,AS8,AS10,AS12,AS14,AS16,AS18,AS20,AS22,AS24,AS26,AS28,AS30,AS32,AS34,AS36,AS38,AS40,AS42,AS44,AS46,AS48)*100,0)</f>
        <v/>
      </c>
      <c r="AV2" s="1">
        <f>AVERAGE(AV4,AV6,AV8,AV10,AV12,AV14,AV16,AV18,AV20,AV22,AV24,AV26,AV28,AV30,AV32,AV34,AV36,AV38,AV40,AV42,AV44,AV46,AV48)</f>
        <v/>
      </c>
      <c r="AW2" s="1">
        <f>AVERAGE(AW4,AW6,AW8,AW10,AW12,AW14,AW16,AW18,AW20,AW22,AW24,AW26,AW28,AW30,AW32,AW34,AW36,AW38,AW40,AW42,AW44,AW46,AW48)</f>
        <v/>
      </c>
      <c r="AX2" s="1">
        <f>IFERROR(SUM(AW4,AW6,AW8,AW10,AW12,AW14,AW16,AW18,AW20,AW22,AW24,AW26,AW28,AW30,AW32,AW34,AW36,AW38,AW40,AW42,AW44,AW46,AW48)/SUM(AV4,AV6,AV8,AV10,AV12,AV14,AV16,AV18,AV20,AV22,AV24,AV26,AV28,AV30,AV32,AV34,AV36,AV38,AV40,AV42,AV44,AV46,AV48)*100,0)</f>
        <v/>
      </c>
      <c r="AY2" s="1">
        <f>AVERAGE(AY4,AY6,AY8,AY10,AY12,AY14,AY16,AY18,AY20,AY22,AY24,AY26,AY28,AY30,AY32,AY34,AY36,AY38,AY40,AY42,AY44,AY46,AY48)</f>
        <v/>
      </c>
      <c r="AZ2" s="1">
        <f>AVERAGE(AZ4,AZ6,AZ8,AZ10,AZ12,AZ14,AZ16,AZ18,AZ20,AZ22,AZ24,AZ26,AZ28,AZ30,AZ32,AZ34,AZ36,AZ38,AZ40,AZ42,AZ44,AZ46,AZ48)</f>
        <v/>
      </c>
      <c r="BA2" s="1">
        <f>IFERROR(SUM(AZ4,AZ6,AZ8,AZ10,AZ12,AZ14,AZ16,AZ18,AZ20,AZ22,AZ24,AZ26,AZ28,AZ30,AZ32,AZ34,AZ36,AZ38,AZ40,AZ42,AZ44,AZ46,AZ48)/SUM(AY4,AY6,AY8,AY10,AY12,AY14,AY16,AY18,AY20,AY22,AY24,AY26,AY28,AY30,AY32,AY34,AY36,AY38,AY40,AY42,AY44,AY46,AY48)*100,0)</f>
        <v/>
      </c>
      <c r="BB2" s="1">
        <f>AVERAGE(BB4,BB6,BB8,BB10,BB12,BB14,BB16,BB18,BB20,BB22,BB24,BB26,BB28,BB30,BB32,BB34,BB36,BB38,BB40,BB42,BB44,BB46,BB48)</f>
        <v/>
      </c>
      <c r="BC2" s="1">
        <f>AVERAGE(BC4,BC6,BC8,BC10,BC12,BC14,BC16,BC18,BC20,BC22,BC24,BC26,BC28,BC30,BC32,BC34,BC36,BC38,BC40,BC42,BC44,BC46,BC48)</f>
        <v/>
      </c>
      <c r="BD2" s="1">
        <f>IFERROR(SUM(BC4,BC6,BC8,BC10,BC12,BC14,BC16,BC18,BC20,BC22,BC24,BC26,BC28,BC30,BC32,BC34,BC36,BC38,BC40,BC42,BC44,BC46,BC48)/SUM(BB4,BB6,BB8,BB10,BB12,BB14,BB16,BB18,BB20,BB22,BB24,BB26,BB28,BB30,BB32,BB34,BB36,BB38,BB40,BB42,BB44,BB46,BB48)*100,0)</f>
        <v/>
      </c>
      <c r="BE2" s="1">
        <f>AVERAGE(BE4,BE6,BE8,BE10,BE12,BE14,BE16,BE18,BE20,BE22,BE24,BE26,BE28,BE30,BE32,BE34,BE36,BE38,BE40,BE42,BE44,BE46,BE48)</f>
        <v/>
      </c>
      <c r="BF2" s="1">
        <f>AVERAGE(BF4,BF6,BF8,BF10,BF12,BF14,BF16,BF18,BF20,BF22,BF24,BF26,BF28,BF30,BF32,BF34,BF36,BF38,BF40,BF42,BF44,BF46,BF48)</f>
        <v/>
      </c>
      <c r="BG2" s="1">
        <f>AVERAGE(BG4,BG6,BG8,BG10,BG12,BG14,BG16,BG18,BG20,BG22,BG24,BG26,BG28,BG30,BG32,BG34,BG36,BG38,BG40,BG42,BG44,BG46,BG48)</f>
        <v/>
      </c>
      <c r="BH2" s="1">
        <f>AVERAGE(BH4,BH6,BH8,BH10,BH12,BH14,BH16,BH18,BH20,BH22,BH24,BH26,BH28,BH30,BH32,BH34,BH36,BH38,BH40,BH42,BH44,BH46,BH48)</f>
        <v/>
      </c>
      <c r="BI2" s="1">
        <f>AVERAGE(BI4,BI6,BI8,BI10,BI12,BI14,BI16,BI18,BI20,BI22,BI24,BI26,BI28,BI30,BI32,BI34,BI36,BI38,BI40,BI42,BI44,BI46,BI48)</f>
        <v/>
      </c>
      <c r="BJ2" s="1">
        <f>AVERAGE(BJ4,BJ6,BJ8,BJ10,BJ12,BJ14,BJ16,BJ18,BJ20,BJ22,BJ24,BJ26,BJ28,BJ30,BJ32,BJ34,BJ36,BJ38,BJ40,BJ42,BJ44,BJ46,BJ48)</f>
        <v/>
      </c>
      <c r="BK2" s="1">
        <f>AVERAGE(BK4,BK6,BK8,BK10,BK12,BK14,BK16,BK18,BK20,BK22,BK24,BK26,BK28,BK30,BK32,BK34,BK36,BK38,BK40,BK42,BK44,BK46,BK48)</f>
        <v/>
      </c>
      <c r="BL2" s="1">
        <f>IFERROR(SUM(BK4,BK6,BK8,BK10,BK12,BK14,BK16,BK18,BK20,BK22,BK24,BK26,BK28,BK30,BK32,BK34,BK36,BK38,BK40,BK42,BK44,BK46,BK48)/SUM(BJ4,BJ6,BJ8,BJ10,BJ12,BJ14,BJ16,BJ18,BJ20,BJ22,BJ24,BJ26,BJ28,BJ30,BJ32,BJ34,BJ36,BJ38,BJ40,BJ42,BJ44,BJ46,BJ48)*100,0)</f>
        <v/>
      </c>
      <c r="BM2" s="1">
        <f>AVERAGE(BM4,BM6,BM8,BM10,BM12,BM14,BM16,BM18,BM20,BM22,BM24,BM26,BM28,BM30,BM32,BM34,BM36,BM38,BM40,BM42,BM44,BM46,BM48)</f>
        <v/>
      </c>
      <c r="BN2" s="1">
        <f>AVERAGE(BN4,BN6,BN8,BN10,BN12,BN14,BN16,BN18,BN20,BN22,BN24,BN26,BN28,BN30,BN32,BN34,BN36,BN38,BN40,BN42,BN44,BN46,BN48)</f>
        <v/>
      </c>
      <c r="BO2" s="1">
        <f>IFERROR(SUM(BN4,BN6,BN8,BN10,BN12,BN14,BN16,BN18,BN20,BN22,BN24,BN26,BN28,BN30,BN32,BN34,BN36,BN38,BN40,BN42,BN44,BN46,BN48)/SUM(BM4,BM6,BM8,BM10,BM12,BM14,BM16,BM18,BM20,BM22,BM24,BM26,BM28,BM30,BM32,BM34,BM36,BM38,BM40,BM42,BM44,BM46,BM48)*100,0)</f>
        <v/>
      </c>
      <c r="BP2" s="1">
        <f>AVERAGE(BP4,BP6,BP8,BP10,BP12,BP14,BP16,BP18,BP20,BP22,BP24,BP26,BP28,BP30,BP32,BP34,BP36,BP38,BP40,BP42,BP44,BP46,BP48)</f>
        <v/>
      </c>
      <c r="BQ2" s="1">
        <f>AVERAGE(BQ4,BQ6,BQ8,BQ10,BQ12,BQ14,BQ16,BQ18,BQ20,BQ22,BQ24,BQ26,BQ28,BQ30,BQ32,BQ34,BQ36,BQ38,BQ40,BQ42,BQ44,BQ46,BQ48)</f>
        <v/>
      </c>
      <c r="BR2" s="1">
        <f>IFERROR(SUM(BQ4,BQ6,BQ8,BQ10,BQ12,BQ14,BQ16,BQ18,BQ20,BQ22,BQ24,BQ26,BQ28,BQ30,BQ32,BQ34,BQ36,BQ38,BQ40,BQ42,BQ44,BQ46,BQ48)/SUM(BP4,BP6,BP8,BP10,BP12,BP14,BP16,BP18,BP20,BP22,BP24,BP26,BP28,BP30,BP32,BP34,BP36,BP38,BP40,BP42,BP44,BP46,BP48)*100,0)</f>
        <v/>
      </c>
      <c r="BS2" s="1">
        <f>AVERAGE(BS4,BS6,BS8,BS10,BS12,BS14,BS16,BS18,BS20,BS22,BS24,BS26,BS28,BS30,BS32,BS34,BS36,BS38,BS40,BS42,BS44,BS46,BS48)</f>
        <v/>
      </c>
      <c r="BT2" s="1">
        <f>AVERAGE(BT4,BT6,BT8,BT10,BT12,BT14,BT16,BT18,BT20,BT22,BT24,BT26,BT28,BT30,BT32,BT34,BT36,BT38,BT40,BT42,BT44,BT46,BT48)</f>
        <v/>
      </c>
      <c r="BU2" s="1">
        <f>IFERROR(SUM(BT4,BT6,BT8,BT10,BT12,BT14,BT16,BT18,BT20,BT22,BT24,BT26,BT28,BT30,BT32,BT34,BT36,BT38,BT40,BT42,BT44,BT46,BT48)/SUM(BS4,BS6,BS8,BS10,BS12,BS14,BS16,BS18,BS20,BS22,BS24,BS26,BS28,BS30,BS32,BS34,BS36,BS38,BS40,BS42,BS44,BS46,BS48)*100,0)</f>
        <v/>
      </c>
      <c r="BV2" s="1">
        <f>AVERAGE(BV4,BV6,BV8,BV10,BV12,BV14,BV16,BV18,BV20,BV22,BV24,BV26,BV28,BV30,BV32,BV34,BV36,BV38,BV40,BV42,BV44,BV46,BV48)</f>
        <v/>
      </c>
      <c r="BW2" s="1">
        <f>AVERAGE(BW4,BW6,BW8,BW10,BW12,BW14,BW16,BW18,BW20,BW22,BW24,BW26,BW28,BW30,BW32,BW34,BW36,BW38,BW40,BW42,BW44,BW46,BW48)</f>
        <v/>
      </c>
      <c r="BX2" s="1">
        <f>IFERROR(SUM(BW4,BW6,BW8,BW10,BW12,BW14,BW16,BW18,BW20,BW22,BW24,BW26,BW28,BW30,BW32,BW34,BW36,BW38,BW40,BW42,BW44,BW46,BW48)/SUM(BV4,BV6,BV8,BV10,BV12,BV14,BV16,BV18,BV20,BV22,BV24,BV26,BV28,BV30,BV32,BV34,BV36,BV38,BV40,BV42,BV44,BV46,BV48)*100,0)</f>
        <v/>
      </c>
      <c r="BY2" s="1">
        <f>AVERAGE(BY4,BY6,BY8,BY10,BY12,BY14,BY16,BY18,BY20,BY22,BY24,BY26,BY28,BY30,BY32,BY34,BY36,BY38,BY40,BY42,BY44,BY46,BY48)</f>
        <v/>
      </c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</row>
    <row r="3">
      <c r="A3" s="1" t="inlineStr">
        <is>
          <t>Opponents</t>
        </is>
      </c>
      <c r="B3" s="1" t="n"/>
      <c r="C3" s="1" t="n"/>
      <c r="D3" s="1" t="n"/>
      <c r="E3" s="1" t="n"/>
      <c r="F3" s="1" t="n"/>
      <c r="G3" s="1">
        <f>AVERAGE(G5,G7,G9,G11,G13,G15,G17,G19,G21,G23,G25,G27,G29,G31,G33,G35,G37,G39,G41,G43,G45,G47,G49)</f>
        <v/>
      </c>
      <c r="H3" s="1">
        <f>AVERAGE(H5,H7,H9,H11,H13,H15,H17,H19,H21,H23,H25,H27,H29,H31,H33,H35,H37,H39,H41,H43,H45,H47,H49)</f>
        <v/>
      </c>
      <c r="I3" s="1">
        <f>AVERAGE(I5,I7,I9,I11,I13,I15,I17,I19,I21,I23,I25,I27,I29,I31,I33,I35,I37,I39,I41,I43,I45,I47,I49)</f>
        <v/>
      </c>
      <c r="J3" s="1">
        <f>AVERAGE(J5,J7,J9,J11,J13,J15,J17,J19,J21,J23,J25,J27,J29,J31,J33,J35,J37,J39,J41,J43,J45,J47,J49)</f>
        <v/>
      </c>
      <c r="K3" s="1">
        <f>IFERROR(SUM(J5,J7,J9,J11,J13,J15,J17,J19,J21,J23,J25,J27,J29,J31,J33,J35,J37,J39,J41,J43,J45,J47,J49)/SUM(I5,I7,I9,I11,I13,I15,I17,I19,I21,I23,I25,I27,I29,I31,I33,I35,I37,I39,I41,I43,I45,I47,I49)*100,0)</f>
        <v/>
      </c>
      <c r="L3" s="1">
        <f>AVERAGE(L5,L7,L9,L11,L13,L15,L17,L19,L21,L23,L25,L27,L29,L31,L33,L35,L37,L39,L41,L43,L45,L47,L49)</f>
        <v/>
      </c>
      <c r="M3" s="1">
        <f>AVERAGE(M5,M7,M9,M11,M13,M15,M17,M19,M21,M23,M25,M27,M29,M31,M33,M35,M37,M39,M41,M43,M45,M47,M49)</f>
        <v/>
      </c>
      <c r="N3" s="1">
        <f>AVERAGE(N5,N7,N9,N11,N13,N15,N17,N19,N21,N23,N25,N27,N29,N31,N33,N35,N37,N39,N41,N43,N45,N47,N49)</f>
        <v/>
      </c>
      <c r="O3" s="1">
        <f>AVERAGE(O5,O7,O9,O11,O13,O15,O17,O19,O21,O23,O25,O27,O29,O31,O33,O35,O37,O39,O41,O43,O45,O47,O49)</f>
        <v/>
      </c>
      <c r="P3" s="1">
        <f>AVERAGE(P5,P7,P9,P11,P13,P15,P17,P19,P21,P23,P25,P27,P29,P31,P33,P35,P37,P39,P41,P43,P45,P47,P49)</f>
        <v/>
      </c>
      <c r="Q3" s="1">
        <f>AVERAGE(Q5,Q7,Q9,Q11,Q13,Q15,Q17,Q19,Q21,Q23,Q25,Q27,Q29,Q31,Q33,Q35,Q37,Q39,Q41,Q43,Q45,Q47,Q49)</f>
        <v/>
      </c>
      <c r="R3" s="1">
        <f>AVERAGE(R5,R7,R9,R11,R13,R15,R17,R19,R21,R23,R25,R27,R29,R31,R33,R35,R37,R39,R41,R43,R45,R47,R49)</f>
        <v/>
      </c>
      <c r="S3" s="1">
        <f>AVERAGE(S5,S7,S9,S11,S13,S15,S17,S19,S21,S23,S25,S27,S29,S31,S33,S35,S37,S39,S41,S43,S45,S47,S49)</f>
        <v/>
      </c>
      <c r="T3" s="1">
        <f>AVERAGE(T5,T7,T9,T11,T13,T15,T17,T19,T21,T23,T25,T27,T29,T31,T33,T35,T37,T39,T41,T43,T45,T47,T49)</f>
        <v/>
      </c>
      <c r="U3" s="1">
        <f>AVERAGE(U5,U7,U9,U11,U13,U15,U17,U19,U21,U23,U25,U27,U29,U31,U33,U35,U37,U39,U41,U43,U45,U47,U49)</f>
        <v/>
      </c>
      <c r="V3" s="1">
        <f>AVERAGE(V5,V7,V9,V11,V13,V15,V17,V19,V21,V23,V25,V27,V29,V31,V33,V35,V37,V39,V41,V43,V45,V47,V49)</f>
        <v/>
      </c>
      <c r="W3" s="1">
        <f>IFERROR(SUM(V5,V7,V9,V11,V13,V15,V17,V19,V21,V23,V25,V27,V29,V31,V33,V35,V37,V39,V41,V43,V45,V47,V49)/SUM(U5,U7,U9,U11,U13,U15,U17,U19,U21,U23,U25,U27,U29,U31,U33,U35,U37,U39,U41,U43,U45,U47,U49)*100,0)</f>
        <v/>
      </c>
      <c r="X3" s="1">
        <f>AVERAGE(X5,X7,X9,X11,X13,X15,X17,X19,X21,X23,X25,X27,X29,X31,X33,X35,X37,X39,X41,X43,X45,X47,X49)</f>
        <v/>
      </c>
      <c r="Y3" s="1">
        <f>AVERAGE(Y5,Y7,Y9,Y11,Y13,Y15,Y17,Y19,Y21,Y23,Y25,Y27,Y29,Y31,Y33,Y35,Y37,Y39,Y41,Y43,Y45,Y47,Y49)</f>
        <v/>
      </c>
      <c r="Z3" s="1">
        <f>IFERROR(SUM(Y5,Y7,Y9,Y11,Y13,Y15,Y17,Y19,Y21,Y23,Y25,Y27,Y29,Y31,Y33,Y35,Y37,Y39,Y41,Y43,Y45,Y47,Y49)/SUM(X5,X7,X9,X11,X13,X15,X17,X19,X21,X23,X25,X27,X29,X31,X33,X35,X37,X39,X41,X43,X45,X47,X49)*100,0)</f>
        <v/>
      </c>
      <c r="AA3" s="1">
        <f>AVERAGE(AA5,AA7,AA9,AA11,AA13,AA15,AA17,AA19,AA21,AA23,AA25,AA27,AA29,AA31,AA33,AA35,AA37,AA39,AA41,AA43,AA45,AA47,AA49)</f>
        <v/>
      </c>
      <c r="AB3" s="1">
        <f>AVERAGE(AB5,AB7,AB9,AB11,AB13,AB15,AB17,AB19,AB21,AB23,AB25,AB27,AB29,AB31,AB33,AB35,AB37,AB39,AB41,AB43,AB45,AB47,AB49)</f>
        <v/>
      </c>
      <c r="AC3" s="1">
        <f>IFERROR(SUM(AB5,AB7,AB9,AB11,AB13,AB15,AB17,AB19,AB21,AB23,AB25,AB27,AB29,AB31,AB33,AB35,AB37,AB39,AB41,AB43,AB45,AB47,AB49)/SUM(AA5,AA7,AA9,AA11,AA13,AA15,AA17,AA19,AA21,AA23,AA25,AA27,AA29,AA31,AA33,AA35,AA37,AA39,AA41,AA43,AA45,AA47,AA49)*100,0)</f>
        <v/>
      </c>
      <c r="AD3" s="1">
        <f>AVERAGE(AD5,AD7,AD9,AD11,AD13,AD15,AD17,AD19,AD21,AD23,AD25,AD27,AD29,AD31,AD33,AD35,AD37,AD39,AD41,AD43,AD45,AD47,AD49)</f>
        <v/>
      </c>
      <c r="AE3" s="1">
        <f>AVERAGE(AE5,AE7,AE9,AE11,AE13,AE15,AE17,AE19,AE21,AE23,AE25,AE27,AE29,AE31,AE33,AE35,AE37,AE39,AE41,AE43,AE45,AE47,AE49)</f>
        <v/>
      </c>
      <c r="AF3" s="1">
        <f>IFERROR(SUM(AE5,AE7,AE9,AE11,AE13,AE15,AE17,AE19,AE21,AE23,AE25,AE27,AE29,AE31,AE33,AE35,AE37,AE39,AE41,AE43,AE45,AE47,AE49)/SUM(AD5,AD7,AD9,AD11,AD13,AD15,AD17,AD19,AD21,AD23,AD25,AD27,AD29,AD31,AD33,AD35,AD37,AD39,AD41,AD43,AD45,AD47,AD49)*100,0)</f>
        <v/>
      </c>
      <c r="AG3" s="1">
        <f>AVERAGE(AG5,AG7,AG9,AG11,AG13,AG15,AG17,AG19,AG21,AG23,AG25,AG27,AG29,AG31,AG33,AG35,AG37,AG39,AG41,AG43,AG45,AG47,AG49)</f>
        <v/>
      </c>
      <c r="AH3" s="1">
        <f>AVERAGE(AH5,AH7,AH9,AH11,AH13,AH15,AH17,AH19,AH21,AH23,AH25,AH27,AH29,AH31,AH33,AH35,AH37,AH39,AH41,AH43,AH45,AH47,AH49)</f>
        <v/>
      </c>
      <c r="AI3" s="1">
        <f>IFERROR(SUM(AH5,AH7,AH9,AH11,AH13,AH15,AH17,AH19,AH21,AH23,AH25,AH27,AH29,AH31,AH33,AH35,AH37,AH39,AH41,AH43,AH45,AH47,AH49)/SUM(AG5,AG7,AG9,AG11,AG13,AG15,AG17,AG19,AG21,AG23,AG25,AG27,AG29,AG31,AG33,AG35,AG37,AG39,AG41,AG43,AG45,AG47,AG49)*100,0)</f>
        <v/>
      </c>
      <c r="AJ3" s="1">
        <f>AVERAGE(AJ5,AJ7,AJ9,AJ11,AJ13,AJ15,AJ17,AJ19,AJ21,AJ23,AJ25,AJ27,AJ29,AJ31,AJ33,AJ35,AJ37,AJ39,AJ41,AJ43,AJ45,AJ47,AJ49)</f>
        <v/>
      </c>
      <c r="AK3" s="1">
        <f>AVERAGE(AK5,AK7,AK9,AK11,AK13,AK15,AK17,AK19,AK21,AK23,AK25,AK27,AK29,AK31,AK33,AK35,AK37,AK39,AK41,AK43,AK45,AK47,AK49)</f>
        <v/>
      </c>
      <c r="AL3" s="1">
        <f>IFERROR(SUM(AK5,AK7,AK9,AK11,AK13,AK15,AK17,AK19,AK21,AK23,AK25,AK27,AK29,AK31,AK33,AK35,AK37,AK39,AK41,AK43,AK45,AK47,AK49)/SUM(AJ5,AJ7,AJ9,AJ11,AJ13,AJ15,AJ17,AJ19,AJ21,AJ23,AJ25,AJ27,AJ29,AJ31,AJ33,AJ35,AJ37,AJ39,AJ41,AJ43,AJ45,AJ47,AJ49)*100,0)</f>
        <v/>
      </c>
      <c r="AM3" s="1">
        <f>AVERAGE(AM5,AM7,AM9,AM11,AM13,AM15,AM17,AM19,AM21,AM23,AM25,AM27,AM29,AM31,AM33,AM35,AM37,AM39,AM41,AM43,AM45,AM47,AM49)</f>
        <v/>
      </c>
      <c r="AN3" s="1">
        <f>AVERAGE(AN5,AN7,AN9,AN11,AN13,AN15,AN17,AN19,AN21,AN23,AN25,AN27,AN29,AN31,AN33,AN35,AN37,AN39,AN41,AN43,AN45,AN47,AN49)</f>
        <v/>
      </c>
      <c r="AO3" s="1">
        <f>AVERAGE(AO5,AO7,AO9,AO11,AO13,AO15,AO17,AO19,AO21,AO23,AO25,AO27,AO29,AO31,AO33,AO35,AO37,AO39,AO41,AO43,AO45,AO47,AO49)</f>
        <v/>
      </c>
      <c r="AP3" s="1">
        <f>AVERAGE(AP5,AP7,AP9,AP11,AP13,AP15,AP17,AP19,AP21,AP23,AP25,AP27,AP29,AP31,AP33,AP35,AP37,AP39,AP41,AP43,AP45,AP47,AP49)</f>
        <v/>
      </c>
      <c r="AQ3" s="1">
        <f>IFERROR(SUM(AP5,AP7,AP9,AP11,AP13,AP15,AP17,AP19,AP21,AP23,AP25,AP27,AP29,AP31,AP33,AP35,AP37,AP39,AP41,AP43,AP45,AP47,AP49)/SUM(AO5,AO7,AO9,AO11,AO13,AO15,AO17,AO19,AO21,AO23,AO25,AO27,AO29,AO31,AO33,AO35,AO37,AO39,AO41,AO43,AO45,AO47,AO49)*100,0)</f>
        <v/>
      </c>
      <c r="AR3" s="1">
        <f>AVERAGE(AR5,AR7,AR9,AR11,AR13,AR15,AR17,AR19,AR21,AR23,AR25,AR27,AR29,AR31,AR33,AR35,AR37,AR39,AR41,AR43,AR45,AR47,AR49)</f>
        <v/>
      </c>
      <c r="AS3" s="1">
        <f>AVERAGE(AS5,AS7,AS9,AS11,AS13,AS15,AS17,AS19,AS21,AS23,AS25,AS27,AS29,AS31,AS33,AS35,AS37,AS39,AS41,AS43,AS45,AS47,AS49)</f>
        <v/>
      </c>
      <c r="AT3" s="1">
        <f>AVERAGE(AT5,AT7,AT9,AT11,AT13,AT15,AT17,AT19,AT21,AT23,AT25,AT27,AT29,AT31,AT33,AT35,AT37,AT39,AT41,AT43,AT45,AT47,AT49)</f>
        <v/>
      </c>
      <c r="AU3" s="1">
        <f>IFERROR(SUM(AT5,AT7,AT9,AT11,AT13,AT15,AT17,AT19,AT21,AT23,AT25,AT27,AT29,AT31,AT33,AT35,AT37,AT39,AT41,AT43,AT45,AT47,AT49)/SUM(AS5,AS7,AS9,AS11,AS13,AS15,AS17,AS19,AS21,AS23,AS25,AS27,AS29,AS31,AS33,AS35,AS37,AS39,AS41,AS43,AS45,AS47,AS49)*100,0)</f>
        <v/>
      </c>
      <c r="AV3" s="1">
        <f>AVERAGE(AV5,AV7,AV9,AV11,AV13,AV15,AV17,AV19,AV21,AV23,AV25,AV27,AV29,AV31,AV33,AV35,AV37,AV39,AV41,AV43,AV45,AV47,AV49)</f>
        <v/>
      </c>
      <c r="AW3" s="1">
        <f>AVERAGE(AW5,AW7,AW9,AW11,AW13,AW15,AW17,AW19,AW21,AW23,AW25,AW27,AW29,AW31,AW33,AW35,AW37,AW39,AW41,AW43,AW45,AW47,AW49)</f>
        <v/>
      </c>
      <c r="AX3" s="1">
        <f>IFERROR(SUM(AW5,AW7,AW9,AW11,AW13,AW15,AW17,AW19,AW21,AW23,AW25,AW27,AW29,AW31,AW33,AW35,AW37,AW39,AW41,AW43,AW45,AW47,AW49)/SUM(AV5,AV7,AV9,AV11,AV13,AV15,AV17,AV19,AV21,AV23,AV25,AV27,AV29,AV31,AV33,AV35,AV37,AV39,AV41,AV43,AV45,AV47,AV49)*100,0)</f>
        <v/>
      </c>
      <c r="AY3" s="1">
        <f>AVERAGE(AY5,AY7,AY9,AY11,AY13,AY15,AY17,AY19,AY21,AY23,AY25,AY27,AY29,AY31,AY33,AY35,AY37,AY39,AY41,AY43,AY45,AY47,AY49)</f>
        <v/>
      </c>
      <c r="AZ3" s="1">
        <f>AVERAGE(AZ5,AZ7,AZ9,AZ11,AZ13,AZ15,AZ17,AZ19,AZ21,AZ23,AZ25,AZ27,AZ29,AZ31,AZ33,AZ35,AZ37,AZ39,AZ41,AZ43,AZ45,AZ47,AZ49)</f>
        <v/>
      </c>
      <c r="BA3" s="1">
        <f>IFERROR(SUM(AZ5,AZ7,AZ9,AZ11,AZ13,AZ15,AZ17,AZ19,AZ21,AZ23,AZ25,AZ27,AZ29,AZ31,AZ33,AZ35,AZ37,AZ39,AZ41,AZ43,AZ45,AZ47,AZ49)/SUM(AY5,AY7,AY9,AY11,AY13,AY15,AY17,AY19,AY21,AY23,AY25,AY27,AY29,AY31,AY33,AY35,AY37,AY39,AY41,AY43,AY45,AY47,AY49)*100,0)</f>
        <v/>
      </c>
      <c r="BB3" s="1">
        <f>AVERAGE(BB5,BB7,BB9,BB11,BB13,BB15,BB17,BB19,BB21,BB23,BB25,BB27,BB29,BB31,BB33,BB35,BB37,BB39,BB41,BB43,BB45,BB47,BB49)</f>
        <v/>
      </c>
      <c r="BC3" s="1">
        <f>AVERAGE(BC5,BC7,BC9,BC11,BC13,BC15,BC17,BC19,BC21,BC23,BC25,BC27,BC29,BC31,BC33,BC35,BC37,BC39,BC41,BC43,BC45,BC47,BC49)</f>
        <v/>
      </c>
      <c r="BD3" s="1">
        <f>IFERROR(SUM(BC5,BC7,BC9,BC11,BC13,BC15,BC17,BC19,BC21,BC23,BC25,BC27,BC29,BC31,BC33,BC35,BC37,BC39,BC41,BC43,BC45,BC47,BC49)/SUM(BB5,BB7,BB9,BB11,BB13,BB15,BB17,BB19,BB21,BB23,BB25,BB27,BB29,BB31,BB33,BB35,BB37,BB39,BB41,BB43,BB45,BB47,BB49)*100,0)</f>
        <v/>
      </c>
      <c r="BE3" s="1">
        <f>AVERAGE(BE5,BE7,BE9,BE11,BE13,BE15,BE17,BE19,BE21,BE23,BE25,BE27,BE29,BE31,BE33,BE35,BE37,BE39,BE41,BE43,BE45,BE47,BE49)</f>
        <v/>
      </c>
      <c r="BF3" s="1">
        <f>AVERAGE(BF5,BF7,BF9,BF11,BF13,BF15,BF17,BF19,BF21,BF23,BF25,BF27,BF29,BF31,BF33,BF35,BF37,BF39,BF41,BF43,BF45,BF47,BF49)</f>
        <v/>
      </c>
      <c r="BG3" s="1">
        <f>AVERAGE(BG5,BG7,BG9,BG11,BG13,BG15,BG17,BG19,BG21,BG23,BG25,BG27,BG29,BG31,BG33,BG35,BG37,BG39,BG41,BG43,BG45,BG47,BG49)</f>
        <v/>
      </c>
      <c r="BH3" s="1">
        <f>AVERAGE(BH5,BH7,BH9,BH11,BH13,BH15,BH17,BH19,BH21,BH23,BH25,BH27,BH29,BH31,BH33,BH35,BH37,BH39,BH41,BH43,BH45,BH47,BH49)</f>
        <v/>
      </c>
      <c r="BI3" s="1">
        <f>AVERAGE(BI5,BI7,BI9,BI11,BI13,BI15,BI17,BI19,BI21,BI23,BI25,BI27,BI29,BI31,BI33,BI35,BI37,BI39,BI41,BI43,BI45,BI47,BI49)</f>
        <v/>
      </c>
      <c r="BJ3" s="1">
        <f>AVERAGE(BJ5,BJ7,BJ9,BJ11,BJ13,BJ15,BJ17,BJ19,BJ21,BJ23,BJ25,BJ27,BJ29,BJ31,BJ33,BJ35,BJ37,BJ39,BJ41,BJ43,BJ45,BJ47,BJ49)</f>
        <v/>
      </c>
      <c r="BK3" s="1">
        <f>AVERAGE(BK5,BK7,BK9,BK11,BK13,BK15,BK17,BK19,BK21,BK23,BK25,BK27,BK29,BK31,BK33,BK35,BK37,BK39,BK41,BK43,BK45,BK47,BK49)</f>
        <v/>
      </c>
      <c r="BL3" s="1">
        <f>IFERROR(SUM(BK5,BK7,BK9,BK11,BK13,BK15,BK17,BK19,BK21,BK23,BK25,BK27,BK29,BK31,BK33,BK35,BK37,BK39,BK41,BK43,BK45,BK47,BK49)/SUM(BJ5,BJ7,BJ9,BJ11,BJ13,BJ15,BJ17,BJ19,BJ21,BJ23,BJ25,BJ27,BJ29,BJ31,BJ33,BJ35,BJ37,BJ39,BJ41,BJ43,BJ45,BJ47,BJ49)*100,0)</f>
        <v/>
      </c>
      <c r="BM3" s="1">
        <f>AVERAGE(BM5,BM7,BM9,BM11,BM13,BM15,BM17,BM19,BM21,BM23,BM25,BM27,BM29,BM31,BM33,BM35,BM37,BM39,BM41,BM43,BM45,BM47,BM49)</f>
        <v/>
      </c>
      <c r="BN3" s="1">
        <f>AVERAGE(BN5,BN7,BN9,BN11,BN13,BN15,BN17,BN19,BN21,BN23,BN25,BN27,BN29,BN31,BN33,BN35,BN37,BN39,BN41,BN43,BN45,BN47,BN49)</f>
        <v/>
      </c>
      <c r="BO3" s="1">
        <f>IFERROR(SUM(BN5,BN7,BN9,BN11,BN13,BN15,BN17,BN19,BN21,BN23,BN25,BN27,BN29,BN31,BN33,BN35,BN37,BN39,BN41,BN43,BN45,BN47,BN49)/SUM(BM5,BM7,BM9,BM11,BM13,BM15,BM17,BM19,BM21,BM23,BM25,BM27,BM29,BM31,BM33,BM35,BM37,BM39,BM41,BM43,BM45,BM47,BM49)*100,0)</f>
        <v/>
      </c>
      <c r="BP3" s="1">
        <f>AVERAGE(BP5,BP7,BP9,BP11,BP13,BP15,BP17,BP19,BP21,BP23,BP25,BP27,BP29,BP31,BP33,BP35,BP37,BP39,BP41,BP43,BP45,BP47,BP49)</f>
        <v/>
      </c>
      <c r="BQ3" s="1">
        <f>AVERAGE(BQ5,BQ7,BQ9,BQ11,BQ13,BQ15,BQ17,BQ19,BQ21,BQ23,BQ25,BQ27,BQ29,BQ31,BQ33,BQ35,BQ37,BQ39,BQ41,BQ43,BQ45,BQ47,BQ49)</f>
        <v/>
      </c>
      <c r="BR3" s="1">
        <f>IFERROR(SUM(BQ5,BQ7,BQ9,BQ11,BQ13,BQ15,BQ17,BQ19,BQ21,BQ23,BQ25,BQ27,BQ29,BQ31,BQ33,BQ35,BQ37,BQ39,BQ41,BQ43,BQ45,BQ47,BQ49)/SUM(BP5,BP7,BP9,BP11,BP13,BP15,BP17,BP19,BP21,BP23,BP25,BP27,BP29,BP31,BP33,BP35,BP37,BP39,BP41,BP43,BP45,BP47,BP49)*100,0)</f>
        <v/>
      </c>
      <c r="BS3" s="1">
        <f>AVERAGE(BS5,BS7,BS9,BS11,BS13,BS15,BS17,BS19,BS21,BS23,BS25,BS27,BS29,BS31,BS33,BS35,BS37,BS39,BS41,BS43,BS45,BS47,BS49)</f>
        <v/>
      </c>
      <c r="BT3" s="1">
        <f>AVERAGE(BT5,BT7,BT9,BT11,BT13,BT15,BT17,BT19,BT21,BT23,BT25,BT27,BT29,BT31,BT33,BT35,BT37,BT39,BT41,BT43,BT45,BT47,BT49)</f>
        <v/>
      </c>
      <c r="BU3" s="1">
        <f>IFERROR(SUM(BT5,BT7,BT9,BT11,BT13,BT15,BT17,BT19,BT21,BT23,BT25,BT27,BT29,BT31,BT33,BT35,BT37,BT39,BT41,BT43,BT45,BT47,BT49)/SUM(BS5,BS7,BS9,BS11,BS13,BS15,BS17,BS19,BS21,BS23,BS25,BS27,BS29,BS31,BS33,BS35,BS37,BS39,BS41,BS43,BS45,BS47,BS49)*100,0)</f>
        <v/>
      </c>
      <c r="BV3" s="1">
        <f>AVERAGE(BV5,BV7,BV9,BV11,BV13,BV15,BV17,BV19,BV21,BV23,BV25,BV27,BV29,BV31,BV33,BV35,BV37,BV39,BV41,BV43,BV45,BV47,BV49)</f>
        <v/>
      </c>
      <c r="BW3" s="1">
        <f>AVERAGE(BW5,BW7,BW9,BW11,BW13,BW15,BW17,BW19,BW21,BW23,BW25,BW27,BW29,BW31,BW33,BW35,BW37,BW39,BW41,BW43,BW45,BW47,BW49)</f>
        <v/>
      </c>
      <c r="BX3" s="1">
        <f>IFERROR(SUM(BW5,BW7,BW9,BW11,BW13,BW15,BW17,BW19,BW21,BW23,BW25,BW27,BW29,BW31,BW33,BW35,BW37,BW39,BW41,BW43,BW45,BW47,BW49)/SUM(BV5,BV7,BV9,BV11,BV13,BV15,BV17,BV19,BV21,BV23,BV25,BV27,BV29,BV31,BV33,BV35,BV37,BV39,BV41,BV43,BV45,BV47,BV49)*100,0)</f>
        <v/>
      </c>
      <c r="BY3" s="1">
        <f>AVERAGE(BY5,BY7,BY9,BY11,BY13,BY15,BY17,BY19,BY21,BY23,BY25,BY27,BY29,BY31,BY33,BY35,BY37,BY39,BY41,BY43,BY45,BY47,BY49)</f>
        <v/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</row>
    <row r="4" ht="12" customHeight="1" s="21">
      <c r="A4" t="inlineStr">
        <is>
          <t>2026-06-20</t>
        </is>
      </c>
      <c r="B4" t="inlineStr">
        <is>
          <t>Balcatta - Perth 0:1</t>
        </is>
      </c>
      <c r="C4" t="inlineStr">
        <is>
          <t>Australia. Western Australia NPL Women</t>
        </is>
      </c>
      <c r="D4" t="n">
        <v>91</v>
      </c>
      <c r="E4" t="inlineStr">
        <is>
          <t>Perth</t>
        </is>
      </c>
      <c r="F4" t="inlineStr">
        <is>
          <t>4-1-4-1 (100.0%)</t>
        </is>
      </c>
      <c r="G4" t="n">
        <v>1</v>
      </c>
      <c r="H4" t="n">
        <v>0.61</v>
      </c>
      <c r="I4" t="n">
        <v>13</v>
      </c>
      <c r="J4" t="n">
        <v>6</v>
      </c>
      <c r="K4" t="n">
        <v>46.15</v>
      </c>
      <c r="L4" t="n">
        <v>44.57</v>
      </c>
      <c r="M4" t="n">
        <v>136</v>
      </c>
      <c r="N4" t="n">
        <v>15</v>
      </c>
      <c r="O4" t="n">
        <v>47</v>
      </c>
      <c r="P4" t="n">
        <v>74</v>
      </c>
      <c r="Q4" t="n">
        <v>99</v>
      </c>
      <c r="R4" t="n">
        <v>32</v>
      </c>
      <c r="S4" t="n">
        <v>44</v>
      </c>
      <c r="T4" t="n">
        <v>23</v>
      </c>
      <c r="U4" t="n">
        <v>213</v>
      </c>
      <c r="V4" t="n">
        <v>99</v>
      </c>
      <c r="W4" t="n">
        <v>46.48</v>
      </c>
      <c r="X4" t="n">
        <v>6</v>
      </c>
      <c r="Y4" t="n">
        <v>3</v>
      </c>
      <c r="Z4" t="n">
        <v>50</v>
      </c>
      <c r="AA4" t="n">
        <v>43</v>
      </c>
      <c r="AB4" t="n">
        <v>10</v>
      </c>
      <c r="AC4" t="n">
        <v>23.26</v>
      </c>
      <c r="AD4" t="n">
        <v>15</v>
      </c>
      <c r="AE4" t="n">
        <v>2</v>
      </c>
      <c r="AF4" t="n">
        <v>13.33</v>
      </c>
      <c r="AG4" t="n">
        <v>4</v>
      </c>
      <c r="AH4" t="n">
        <v>2</v>
      </c>
      <c r="AI4" t="n">
        <v>50</v>
      </c>
      <c r="AJ4" t="n">
        <v>15</v>
      </c>
      <c r="AK4" t="n">
        <v>2</v>
      </c>
      <c r="AL4" t="n">
        <v>13.33</v>
      </c>
      <c r="AM4" t="n">
        <v>6</v>
      </c>
      <c r="AN4" t="n">
        <v>16</v>
      </c>
      <c r="AO4" t="n">
        <v>95</v>
      </c>
      <c r="AP4" t="n">
        <v>23</v>
      </c>
      <c r="AQ4" t="n">
        <v>24.21</v>
      </c>
      <c r="AR4" t="n">
        <v>0</v>
      </c>
      <c r="AS4" t="n">
        <v>8</v>
      </c>
      <c r="AT4" t="n">
        <v>4</v>
      </c>
      <c r="AU4" t="n">
        <v>50</v>
      </c>
      <c r="AV4" t="n">
        <v>74</v>
      </c>
      <c r="AW4" t="n">
        <v>57</v>
      </c>
      <c r="AX4" t="n">
        <v>77.03</v>
      </c>
      <c r="AY4" t="n">
        <v>18</v>
      </c>
      <c r="AZ4" t="n">
        <v>4</v>
      </c>
      <c r="BA4" t="n">
        <v>22.22</v>
      </c>
      <c r="BB4" t="n">
        <v>1</v>
      </c>
      <c r="BC4" t="n">
        <v>1</v>
      </c>
      <c r="BD4" t="n">
        <v>100</v>
      </c>
      <c r="BE4" t="n">
        <v>52</v>
      </c>
      <c r="BF4" t="n">
        <v>11</v>
      </c>
      <c r="BG4" t="n">
        <v>9</v>
      </c>
      <c r="BH4" t="n">
        <v>1</v>
      </c>
      <c r="BI4" t="n">
        <v>0</v>
      </c>
      <c r="BJ4" t="n">
        <v>163</v>
      </c>
      <c r="BK4" t="n">
        <v>91</v>
      </c>
      <c r="BL4" t="n">
        <v>55.83</v>
      </c>
      <c r="BM4" t="n">
        <v>60</v>
      </c>
      <c r="BN4" t="n">
        <v>32</v>
      </c>
      <c r="BO4" t="n">
        <v>53.33</v>
      </c>
      <c r="BP4" t="n">
        <v>57</v>
      </c>
      <c r="BQ4" t="n">
        <v>29</v>
      </c>
      <c r="BR4" t="n">
        <v>50.88</v>
      </c>
      <c r="BS4" t="n">
        <v>84</v>
      </c>
      <c r="BT4" t="n">
        <v>45</v>
      </c>
      <c r="BU4" t="n">
        <v>53.57</v>
      </c>
      <c r="BV4" t="n">
        <v>39</v>
      </c>
      <c r="BW4" t="n">
        <v>31</v>
      </c>
      <c r="BX4" t="n">
        <v>79.48999999999999</v>
      </c>
      <c r="BY4" t="n">
        <v>6.84</v>
      </c>
    </row>
    <row r="5" ht="12" customHeight="1" s="21">
      <c r="E5" t="inlineStr">
        <is>
          <t>Balcatta</t>
        </is>
      </c>
      <c r="F5" t="inlineStr">
        <is>
          <t>4-2-3-1 (49.96%)</t>
        </is>
      </c>
      <c r="G5" t="n">
        <v>0</v>
      </c>
      <c r="H5" t="n">
        <v>0.89</v>
      </c>
      <c r="I5" t="n">
        <v>8</v>
      </c>
      <c r="J5" t="n">
        <v>4</v>
      </c>
      <c r="K5" t="n">
        <v>50</v>
      </c>
      <c r="L5" t="n">
        <v>55.43</v>
      </c>
      <c r="M5" t="n">
        <v>164</v>
      </c>
      <c r="N5" t="n">
        <v>37</v>
      </c>
      <c r="O5" t="n">
        <v>71</v>
      </c>
      <c r="P5" t="n">
        <v>56</v>
      </c>
      <c r="Q5" t="n">
        <v>99</v>
      </c>
      <c r="R5" t="n">
        <v>48</v>
      </c>
      <c r="S5" t="n">
        <v>34</v>
      </c>
      <c r="T5" t="n">
        <v>17</v>
      </c>
      <c r="U5" t="n">
        <v>213</v>
      </c>
      <c r="V5" t="n">
        <v>109</v>
      </c>
      <c r="W5" t="n">
        <v>51.17</v>
      </c>
      <c r="X5" t="n">
        <v>3</v>
      </c>
      <c r="Y5" t="n">
        <v>1</v>
      </c>
      <c r="Z5" t="n">
        <v>33.33</v>
      </c>
      <c r="AA5" t="n">
        <v>29</v>
      </c>
      <c r="AB5" t="n">
        <v>7</v>
      </c>
      <c r="AC5" t="n">
        <v>24.14</v>
      </c>
      <c r="AD5" t="n">
        <v>25</v>
      </c>
      <c r="AE5" t="n">
        <v>1</v>
      </c>
      <c r="AF5" t="n">
        <v>4</v>
      </c>
      <c r="AG5" t="n">
        <v>1</v>
      </c>
      <c r="AH5" t="n">
        <v>0</v>
      </c>
      <c r="AI5" t="n">
        <v>0</v>
      </c>
      <c r="AJ5" t="n">
        <v>12</v>
      </c>
      <c r="AK5" t="n">
        <v>5</v>
      </c>
      <c r="AL5" t="n">
        <v>41.67</v>
      </c>
      <c r="AM5" t="n">
        <v>6</v>
      </c>
      <c r="AN5" t="n">
        <v>14</v>
      </c>
      <c r="AO5" t="n">
        <v>74</v>
      </c>
      <c r="AP5" t="n">
        <v>17</v>
      </c>
      <c r="AQ5" t="n">
        <v>22.97</v>
      </c>
      <c r="AR5" t="n">
        <v>1</v>
      </c>
      <c r="AS5" t="n">
        <v>13</v>
      </c>
      <c r="AT5" t="n">
        <v>6</v>
      </c>
      <c r="AU5" t="n">
        <v>46.15</v>
      </c>
      <c r="AV5" t="n">
        <v>95</v>
      </c>
      <c r="AW5" t="n">
        <v>72</v>
      </c>
      <c r="AX5" t="n">
        <v>75.79000000000001</v>
      </c>
      <c r="AY5" t="n">
        <v>18</v>
      </c>
      <c r="AZ5" t="n">
        <v>13</v>
      </c>
      <c r="BA5" t="n">
        <v>72.22</v>
      </c>
      <c r="BB5" t="n">
        <v>2</v>
      </c>
      <c r="BC5" t="n">
        <v>1</v>
      </c>
      <c r="BD5" t="n">
        <v>50</v>
      </c>
      <c r="BE5" t="n">
        <v>39</v>
      </c>
      <c r="BF5" t="n">
        <v>18</v>
      </c>
      <c r="BG5" t="n">
        <v>2</v>
      </c>
      <c r="BH5" t="n">
        <v>1</v>
      </c>
      <c r="BI5" t="n">
        <v>0</v>
      </c>
      <c r="BJ5" t="n">
        <v>167</v>
      </c>
      <c r="BK5" t="n">
        <v>98</v>
      </c>
      <c r="BL5" t="n">
        <v>58.68</v>
      </c>
      <c r="BM5" t="n">
        <v>63</v>
      </c>
      <c r="BN5" t="n">
        <v>23</v>
      </c>
      <c r="BO5" t="n">
        <v>36.51</v>
      </c>
      <c r="BP5" t="n">
        <v>49</v>
      </c>
      <c r="BQ5" t="n">
        <v>25</v>
      </c>
      <c r="BR5" t="n">
        <v>51.02</v>
      </c>
      <c r="BS5" t="n">
        <v>88</v>
      </c>
      <c r="BT5" t="n">
        <v>37</v>
      </c>
      <c r="BU5" t="n">
        <v>42.05</v>
      </c>
      <c r="BV5" t="n">
        <v>41</v>
      </c>
      <c r="BW5" t="n">
        <v>34</v>
      </c>
      <c r="BX5" t="n">
        <v>82.93000000000001</v>
      </c>
      <c r="BY5" t="n">
        <v>14.71</v>
      </c>
    </row>
    <row r="6" ht="12" customHeight="1" s="21">
      <c r="A6" t="inlineStr">
        <is>
          <t>2026-06-14</t>
        </is>
      </c>
      <c r="B6" t="inlineStr">
        <is>
          <t>Perth - West NTC 3:0</t>
        </is>
      </c>
      <c r="C6" t="inlineStr">
        <is>
          <t>Australia. Western Australia NPL Women</t>
        </is>
      </c>
      <c r="D6" t="n">
        <v>95</v>
      </c>
      <c r="E6" t="inlineStr">
        <is>
          <t>Perth</t>
        </is>
      </c>
      <c r="F6" t="inlineStr">
        <is>
          <t>4-1-3-2 (71.18%)</t>
        </is>
      </c>
      <c r="G6" t="n">
        <v>3</v>
      </c>
      <c r="H6" t="n">
        <v>2.5</v>
      </c>
      <c r="I6" t="n">
        <v>23</v>
      </c>
      <c r="J6" t="n">
        <v>7</v>
      </c>
      <c r="K6" t="n">
        <v>30.43</v>
      </c>
      <c r="L6" t="n">
        <v>59.2</v>
      </c>
      <c r="M6" t="n">
        <v>161</v>
      </c>
      <c r="N6" t="n">
        <v>10</v>
      </c>
      <c r="O6" t="n">
        <v>55</v>
      </c>
      <c r="P6" t="n">
        <v>96</v>
      </c>
      <c r="Q6" t="n">
        <v>105</v>
      </c>
      <c r="R6" t="n">
        <v>30</v>
      </c>
      <c r="S6" t="n">
        <v>54</v>
      </c>
      <c r="T6" t="n">
        <v>21</v>
      </c>
      <c r="U6" t="n">
        <v>168</v>
      </c>
      <c r="V6" t="n">
        <v>78</v>
      </c>
      <c r="W6" t="n">
        <v>46.43</v>
      </c>
      <c r="X6" t="n">
        <v>8</v>
      </c>
      <c r="Y6" t="n">
        <v>2</v>
      </c>
      <c r="Z6" t="n">
        <v>25</v>
      </c>
      <c r="AA6" t="n">
        <v>45</v>
      </c>
      <c r="AB6" t="n">
        <v>16</v>
      </c>
      <c r="AC6" t="n">
        <v>35.56</v>
      </c>
      <c r="AD6" t="n">
        <v>16</v>
      </c>
      <c r="AE6" t="n">
        <v>7</v>
      </c>
      <c r="AF6" t="n">
        <v>43.75</v>
      </c>
      <c r="AG6" t="n">
        <v>6</v>
      </c>
      <c r="AH6" t="n">
        <v>5</v>
      </c>
      <c r="AI6" t="n">
        <v>83.33</v>
      </c>
      <c r="AJ6" t="n">
        <v>18</v>
      </c>
      <c r="AK6" t="n">
        <v>3</v>
      </c>
      <c r="AL6" t="n">
        <v>16.67</v>
      </c>
      <c r="AM6" t="n">
        <v>7</v>
      </c>
      <c r="AN6" t="n">
        <v>27</v>
      </c>
      <c r="AO6" t="n">
        <v>68</v>
      </c>
      <c r="AP6" t="n">
        <v>23</v>
      </c>
      <c r="AQ6" t="n">
        <v>33.82</v>
      </c>
      <c r="AR6" t="n">
        <v>0</v>
      </c>
      <c r="AS6" t="n">
        <v>7</v>
      </c>
      <c r="AT6" t="n">
        <v>2</v>
      </c>
      <c r="AU6" t="n">
        <v>28.57</v>
      </c>
      <c r="AV6" t="n">
        <v>79</v>
      </c>
      <c r="AW6" t="n">
        <v>49</v>
      </c>
      <c r="AX6" t="n">
        <v>62.03</v>
      </c>
      <c r="AY6" t="n">
        <v>8</v>
      </c>
      <c r="AZ6" t="n">
        <v>0</v>
      </c>
      <c r="BA6" t="n">
        <v>0</v>
      </c>
      <c r="BB6" t="n">
        <v>6</v>
      </c>
      <c r="BC6" t="n">
        <v>2</v>
      </c>
      <c r="BD6" t="n">
        <v>33.33</v>
      </c>
      <c r="BE6" t="n">
        <v>43</v>
      </c>
      <c r="BF6" t="n">
        <v>7</v>
      </c>
      <c r="BG6" t="n">
        <v>14</v>
      </c>
      <c r="BH6" t="n">
        <v>1</v>
      </c>
      <c r="BI6" t="n">
        <v>0</v>
      </c>
      <c r="BJ6" t="n">
        <v>200</v>
      </c>
      <c r="BK6" t="n">
        <v>125</v>
      </c>
      <c r="BL6" t="n">
        <v>62.5</v>
      </c>
      <c r="BM6" t="n">
        <v>71</v>
      </c>
      <c r="BN6" t="n">
        <v>27</v>
      </c>
      <c r="BO6" t="n">
        <v>38.03</v>
      </c>
      <c r="BP6" t="n">
        <v>81</v>
      </c>
      <c r="BQ6" t="n">
        <v>34</v>
      </c>
      <c r="BR6" t="n">
        <v>41.98</v>
      </c>
      <c r="BS6" t="n">
        <v>81</v>
      </c>
      <c r="BT6" t="n">
        <v>57</v>
      </c>
      <c r="BU6" t="n">
        <v>70.37</v>
      </c>
      <c r="BV6" t="n">
        <v>28</v>
      </c>
      <c r="BW6" t="n">
        <v>18</v>
      </c>
      <c r="BX6" t="n">
        <v>64.29000000000001</v>
      </c>
      <c r="BY6" t="n">
        <v>5.33</v>
      </c>
    </row>
    <row r="7" ht="12" customHeight="1" s="21">
      <c r="E7" t="inlineStr">
        <is>
          <t>West NTC</t>
        </is>
      </c>
      <c r="F7" t="inlineStr">
        <is>
          <t>4-4-2 (100.0%)</t>
        </is>
      </c>
      <c r="G7" t="n">
        <v>0</v>
      </c>
      <c r="H7" t="n">
        <v>0.45</v>
      </c>
      <c r="I7" t="n">
        <v>7</v>
      </c>
      <c r="J7" t="n">
        <v>2</v>
      </c>
      <c r="K7" t="n">
        <v>28.57</v>
      </c>
      <c r="L7" t="n">
        <v>40.8</v>
      </c>
      <c r="M7" t="n">
        <v>173</v>
      </c>
      <c r="N7" t="n">
        <v>47</v>
      </c>
      <c r="O7" t="n">
        <v>75</v>
      </c>
      <c r="P7" t="n">
        <v>51</v>
      </c>
      <c r="Q7" t="n">
        <v>107</v>
      </c>
      <c r="R7" t="n">
        <v>59</v>
      </c>
      <c r="S7" t="n">
        <v>43</v>
      </c>
      <c r="T7" t="n">
        <v>5</v>
      </c>
      <c r="U7" t="n">
        <v>168</v>
      </c>
      <c r="V7" t="n">
        <v>88</v>
      </c>
      <c r="W7" t="n">
        <v>52.38</v>
      </c>
      <c r="X7" t="n">
        <v>3</v>
      </c>
      <c r="Y7" t="n">
        <v>2</v>
      </c>
      <c r="Z7" t="n">
        <v>66.67</v>
      </c>
      <c r="AA7" t="n">
        <v>24</v>
      </c>
      <c r="AB7" t="n">
        <v>6</v>
      </c>
      <c r="AC7" t="n">
        <v>25</v>
      </c>
      <c r="AD7" t="n">
        <v>27</v>
      </c>
      <c r="AE7" t="n">
        <v>1</v>
      </c>
      <c r="AF7" t="n">
        <v>3.7</v>
      </c>
      <c r="AG7" t="n">
        <v>2</v>
      </c>
      <c r="AH7" t="n">
        <v>1</v>
      </c>
      <c r="AI7" t="n">
        <v>50</v>
      </c>
      <c r="AJ7" t="n">
        <v>6</v>
      </c>
      <c r="AK7" t="n">
        <v>2</v>
      </c>
      <c r="AL7" t="n">
        <v>33.33</v>
      </c>
      <c r="AM7" t="n">
        <v>1</v>
      </c>
      <c r="AN7" t="n">
        <v>6</v>
      </c>
      <c r="AO7" t="n">
        <v>79</v>
      </c>
      <c r="AP7" t="n">
        <v>30</v>
      </c>
      <c r="AQ7" t="n">
        <v>37.97</v>
      </c>
      <c r="AR7" t="n">
        <v>3</v>
      </c>
      <c r="AS7" t="n">
        <v>23</v>
      </c>
      <c r="AT7" t="n">
        <v>7</v>
      </c>
      <c r="AU7" t="n">
        <v>30.43</v>
      </c>
      <c r="AV7" t="n">
        <v>68</v>
      </c>
      <c r="AW7" t="n">
        <v>45</v>
      </c>
      <c r="AX7" t="n">
        <v>66.18000000000001</v>
      </c>
      <c r="AY7" t="n">
        <v>8</v>
      </c>
      <c r="AZ7" t="n">
        <v>7</v>
      </c>
      <c r="BA7" t="n">
        <v>87.5</v>
      </c>
      <c r="BB7" t="n">
        <v>6</v>
      </c>
      <c r="BC7" t="n">
        <v>6</v>
      </c>
      <c r="BD7" t="n">
        <v>100</v>
      </c>
      <c r="BE7" t="n">
        <v>38</v>
      </c>
      <c r="BF7" t="n">
        <v>18</v>
      </c>
      <c r="BG7" t="n">
        <v>2</v>
      </c>
      <c r="BH7" t="n">
        <v>0</v>
      </c>
      <c r="BI7" t="n">
        <v>0</v>
      </c>
      <c r="BJ7" t="n">
        <v>176</v>
      </c>
      <c r="BK7" t="n">
        <v>103</v>
      </c>
      <c r="BL7" t="n">
        <v>58.52</v>
      </c>
      <c r="BM7" t="n">
        <v>55</v>
      </c>
      <c r="BN7" t="n">
        <v>18</v>
      </c>
      <c r="BO7" t="n">
        <v>32.73</v>
      </c>
      <c r="BP7" t="n">
        <v>49</v>
      </c>
      <c r="BQ7" t="n">
        <v>21</v>
      </c>
      <c r="BR7" t="n">
        <v>42.86</v>
      </c>
      <c r="BS7" t="n">
        <v>96</v>
      </c>
      <c r="BT7" t="n">
        <v>35</v>
      </c>
      <c r="BU7" t="n">
        <v>36.46</v>
      </c>
      <c r="BV7" t="n">
        <v>23</v>
      </c>
      <c r="BW7" t="n">
        <v>17</v>
      </c>
      <c r="BX7" t="n">
        <v>73.91</v>
      </c>
      <c r="BY7" t="n">
        <v>28.29</v>
      </c>
    </row>
    <row r="8" ht="12" customHeight="1" s="21">
      <c r="A8" t="inlineStr">
        <is>
          <t>2026-05-31</t>
        </is>
      </c>
      <c r="B8" t="inlineStr">
        <is>
          <t>Perth - Sorrento 3:0</t>
        </is>
      </c>
      <c r="C8" t="inlineStr">
        <is>
          <t>Australia. Western Australia NPL Women</t>
        </is>
      </c>
      <c r="D8" t="n">
        <v>94</v>
      </c>
      <c r="E8" t="inlineStr">
        <is>
          <t>Perth</t>
        </is>
      </c>
      <c r="F8" t="inlineStr">
        <is>
          <t>4-4-2 (100.0%)</t>
        </is>
      </c>
      <c r="G8" t="n">
        <v>3</v>
      </c>
      <c r="H8" t="n">
        <v>4.37</v>
      </c>
      <c r="I8" t="n">
        <v>31</v>
      </c>
      <c r="J8" t="n">
        <v>6</v>
      </c>
      <c r="K8" t="n">
        <v>19.35</v>
      </c>
      <c r="L8" t="n">
        <v>62.54</v>
      </c>
      <c r="M8" t="n">
        <v>108</v>
      </c>
      <c r="N8" t="n">
        <v>1</v>
      </c>
      <c r="O8" t="n">
        <v>13</v>
      </c>
      <c r="P8" t="n">
        <v>94</v>
      </c>
      <c r="Q8" t="n">
        <v>91</v>
      </c>
      <c r="R8" t="n">
        <v>8</v>
      </c>
      <c r="S8" t="n">
        <v>38</v>
      </c>
      <c r="T8" t="n">
        <v>45</v>
      </c>
      <c r="U8" t="n">
        <v>179</v>
      </c>
      <c r="V8" t="n">
        <v>84</v>
      </c>
      <c r="W8" t="n">
        <v>46.93</v>
      </c>
      <c r="X8" t="n">
        <v>12</v>
      </c>
      <c r="Y8" t="n">
        <v>2</v>
      </c>
      <c r="Z8" t="n">
        <v>16.67</v>
      </c>
      <c r="AA8" t="n">
        <v>78</v>
      </c>
      <c r="AB8" t="n">
        <v>27</v>
      </c>
      <c r="AC8" t="n">
        <v>34.62</v>
      </c>
      <c r="AD8" t="n">
        <v>13</v>
      </c>
      <c r="AE8" t="n">
        <v>3</v>
      </c>
      <c r="AF8" t="n">
        <v>23.08</v>
      </c>
      <c r="AG8" t="n">
        <v>8</v>
      </c>
      <c r="AH8" t="n">
        <v>3</v>
      </c>
      <c r="AI8" t="n">
        <v>37.5</v>
      </c>
      <c r="AJ8" t="n">
        <v>29</v>
      </c>
      <c r="AK8" t="n">
        <v>7</v>
      </c>
      <c r="AL8" t="n">
        <v>24.14</v>
      </c>
      <c r="AM8" t="n">
        <v>31</v>
      </c>
      <c r="AN8" t="n">
        <v>58</v>
      </c>
      <c r="AO8" t="n">
        <v>81</v>
      </c>
      <c r="AP8" t="n">
        <v>23</v>
      </c>
      <c r="AQ8" t="n">
        <v>28.4</v>
      </c>
      <c r="AR8" t="n">
        <v>0</v>
      </c>
      <c r="AS8" t="n">
        <v>0</v>
      </c>
      <c r="AT8" t="n">
        <v>0</v>
      </c>
      <c r="AU8" t="n">
        <v>0</v>
      </c>
      <c r="AV8" t="n">
        <v>67</v>
      </c>
      <c r="AW8" t="n">
        <v>47</v>
      </c>
      <c r="AX8" t="n">
        <v>70.15000000000001</v>
      </c>
      <c r="AY8" t="n">
        <v>7</v>
      </c>
      <c r="AZ8" t="n">
        <v>4</v>
      </c>
      <c r="BA8" t="n">
        <v>57.14</v>
      </c>
      <c r="BB8" t="n">
        <v>1</v>
      </c>
      <c r="BC8" t="n">
        <v>0</v>
      </c>
      <c r="BD8" t="n">
        <v>0</v>
      </c>
      <c r="BE8" t="n">
        <v>23</v>
      </c>
      <c r="BF8" t="n">
        <v>2</v>
      </c>
      <c r="BG8" t="n">
        <v>13</v>
      </c>
      <c r="BH8" t="n">
        <v>0</v>
      </c>
      <c r="BI8" t="n">
        <v>0</v>
      </c>
      <c r="BJ8" t="n">
        <v>187</v>
      </c>
      <c r="BK8" t="n">
        <v>148</v>
      </c>
      <c r="BL8" t="n">
        <v>79.14</v>
      </c>
      <c r="BM8" t="n">
        <v>40</v>
      </c>
      <c r="BN8" t="n">
        <v>26</v>
      </c>
      <c r="BO8" t="n">
        <v>65</v>
      </c>
      <c r="BP8" t="n">
        <v>95</v>
      </c>
      <c r="BQ8" t="n">
        <v>74</v>
      </c>
      <c r="BR8" t="n">
        <v>77.89</v>
      </c>
      <c r="BS8" t="n">
        <v>110</v>
      </c>
      <c r="BT8" t="n">
        <v>101</v>
      </c>
      <c r="BU8" t="n">
        <v>91.81999999999999</v>
      </c>
      <c r="BV8" t="n">
        <v>31</v>
      </c>
      <c r="BW8" t="n">
        <v>29</v>
      </c>
      <c r="BX8" t="n">
        <v>93.55</v>
      </c>
      <c r="BY8" t="n">
        <v>5.51</v>
      </c>
    </row>
    <row r="9" ht="12" customHeight="1" s="21">
      <c r="E9" t="inlineStr">
        <is>
          <t>Sorrento</t>
        </is>
      </c>
      <c r="F9" t="inlineStr">
        <is>
          <t>4-5-1 (100.0%)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37.46</v>
      </c>
      <c r="M9" t="n">
        <v>140</v>
      </c>
      <c r="N9" t="n">
        <v>63</v>
      </c>
      <c r="O9" t="n">
        <v>61</v>
      </c>
      <c r="P9" t="n">
        <v>16</v>
      </c>
      <c r="Q9" t="n">
        <v>75</v>
      </c>
      <c r="R9" t="n">
        <v>68</v>
      </c>
      <c r="S9" t="n">
        <v>6</v>
      </c>
      <c r="T9" t="n">
        <v>1</v>
      </c>
      <c r="U9" t="n">
        <v>179</v>
      </c>
      <c r="V9" t="n">
        <v>93</v>
      </c>
      <c r="W9" t="n">
        <v>51.96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42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67</v>
      </c>
      <c r="AP9" t="n">
        <v>20</v>
      </c>
      <c r="AQ9" t="n">
        <v>29.85</v>
      </c>
      <c r="AR9" t="n">
        <v>3</v>
      </c>
      <c r="AS9" t="n">
        <v>31</v>
      </c>
      <c r="AT9" t="n">
        <v>9</v>
      </c>
      <c r="AU9" t="n">
        <v>29.03</v>
      </c>
      <c r="AV9" t="n">
        <v>81</v>
      </c>
      <c r="AW9" t="n">
        <v>58</v>
      </c>
      <c r="AX9" t="n">
        <v>71.59999999999999</v>
      </c>
      <c r="AY9" t="n">
        <v>7</v>
      </c>
      <c r="AZ9" t="n">
        <v>2</v>
      </c>
      <c r="BA9" t="n">
        <v>28.57</v>
      </c>
      <c r="BB9" t="n">
        <v>2</v>
      </c>
      <c r="BC9" t="n">
        <v>0</v>
      </c>
      <c r="BD9" t="n">
        <v>0</v>
      </c>
      <c r="BE9" t="n">
        <v>49</v>
      </c>
      <c r="BF9" t="n">
        <v>12</v>
      </c>
      <c r="BG9" t="n">
        <v>4</v>
      </c>
      <c r="BH9" t="n">
        <v>0</v>
      </c>
      <c r="BI9" t="n">
        <v>0</v>
      </c>
      <c r="BJ9" t="n">
        <v>114</v>
      </c>
      <c r="BK9" t="n">
        <v>50</v>
      </c>
      <c r="BL9" t="n">
        <v>43.86</v>
      </c>
      <c r="BM9" t="n">
        <v>48</v>
      </c>
      <c r="BN9" t="n">
        <v>11</v>
      </c>
      <c r="BO9" t="n">
        <v>22.92</v>
      </c>
      <c r="BP9" t="n">
        <v>15</v>
      </c>
      <c r="BQ9" t="n">
        <v>6</v>
      </c>
      <c r="BR9" t="n">
        <v>40</v>
      </c>
      <c r="BS9" t="n">
        <v>80</v>
      </c>
      <c r="BT9" t="n">
        <v>11</v>
      </c>
      <c r="BU9" t="n">
        <v>13.75</v>
      </c>
      <c r="BV9" t="n">
        <v>17</v>
      </c>
      <c r="BW9" t="n">
        <v>7</v>
      </c>
      <c r="BX9" t="n">
        <v>41.18</v>
      </c>
      <c r="BY9" t="n">
        <v>122.5</v>
      </c>
    </row>
    <row r="10" ht="12" customHeight="1" s="21">
      <c r="A10" t="inlineStr">
        <is>
          <t>2026-05-24</t>
        </is>
      </c>
      <c r="B10" t="inlineStr">
        <is>
          <t>Subiaco - Perth 0:5</t>
        </is>
      </c>
      <c r="C10" t="inlineStr">
        <is>
          <t>Australia. Western Australia NPL Women</t>
        </is>
      </c>
      <c r="D10" t="n">
        <v>95</v>
      </c>
      <c r="E10" t="inlineStr">
        <is>
          <t>Perth</t>
        </is>
      </c>
      <c r="F10" t="inlineStr">
        <is>
          <t>4-2-3-1 (100.0%)</t>
        </is>
      </c>
      <c r="G10" t="n">
        <v>5</v>
      </c>
      <c r="H10" t="n">
        <v>2.25</v>
      </c>
      <c r="I10" t="n">
        <v>16</v>
      </c>
      <c r="J10" t="n">
        <v>13</v>
      </c>
      <c r="K10" t="n">
        <v>81.25</v>
      </c>
      <c r="L10" t="n">
        <v>55.9</v>
      </c>
      <c r="M10" t="n">
        <v>137</v>
      </c>
      <c r="N10" t="n">
        <v>20</v>
      </c>
      <c r="O10" t="n">
        <v>48</v>
      </c>
      <c r="P10" t="n">
        <v>69</v>
      </c>
      <c r="Q10" t="n">
        <v>105</v>
      </c>
      <c r="R10" t="n">
        <v>39</v>
      </c>
      <c r="S10" t="n">
        <v>44</v>
      </c>
      <c r="T10" t="n">
        <v>22</v>
      </c>
      <c r="U10" t="n">
        <v>242</v>
      </c>
      <c r="V10" t="n">
        <v>126</v>
      </c>
      <c r="W10" t="n">
        <v>52.07</v>
      </c>
      <c r="X10" t="n">
        <v>6</v>
      </c>
      <c r="Y10" t="n">
        <v>5</v>
      </c>
      <c r="Z10" t="n">
        <v>83.33</v>
      </c>
      <c r="AA10" t="n">
        <v>46</v>
      </c>
      <c r="AB10" t="n">
        <v>11</v>
      </c>
      <c r="AC10" t="n">
        <v>23.91</v>
      </c>
      <c r="AD10" t="n">
        <v>17</v>
      </c>
      <c r="AE10" t="n">
        <v>5</v>
      </c>
      <c r="AF10" t="n">
        <v>29.41</v>
      </c>
      <c r="AG10" t="n">
        <v>5</v>
      </c>
      <c r="AH10" t="n">
        <v>3</v>
      </c>
      <c r="AI10" t="n">
        <v>60</v>
      </c>
      <c r="AJ10" t="n">
        <v>14</v>
      </c>
      <c r="AK10" t="n">
        <v>2</v>
      </c>
      <c r="AL10" t="n">
        <v>14.29</v>
      </c>
      <c r="AM10" t="n">
        <v>7</v>
      </c>
      <c r="AN10" t="n">
        <v>28</v>
      </c>
      <c r="AO10" t="n">
        <v>99</v>
      </c>
      <c r="AP10" t="n">
        <v>37</v>
      </c>
      <c r="AQ10" t="n">
        <v>37.37</v>
      </c>
      <c r="AR10" t="n">
        <v>0</v>
      </c>
      <c r="AS10" t="n">
        <v>5</v>
      </c>
      <c r="AT10" t="n">
        <v>1</v>
      </c>
      <c r="AU10" t="n">
        <v>20</v>
      </c>
      <c r="AV10" t="n">
        <v>86</v>
      </c>
      <c r="AW10" t="n">
        <v>65</v>
      </c>
      <c r="AX10" t="n">
        <v>75.58</v>
      </c>
      <c r="AY10" t="n">
        <v>25</v>
      </c>
      <c r="AZ10" t="n">
        <v>12</v>
      </c>
      <c r="BA10" t="n">
        <v>48</v>
      </c>
      <c r="BB10" t="n">
        <v>3</v>
      </c>
      <c r="BC10" t="n">
        <v>0</v>
      </c>
      <c r="BD10" t="n">
        <v>0</v>
      </c>
      <c r="BE10" t="n">
        <v>67</v>
      </c>
      <c r="BF10" t="n">
        <v>17</v>
      </c>
      <c r="BG10" t="n">
        <v>10</v>
      </c>
      <c r="BH10" t="n">
        <v>2</v>
      </c>
      <c r="BI10" t="n">
        <v>0</v>
      </c>
      <c r="BJ10" t="n">
        <v>160</v>
      </c>
      <c r="BK10" t="n">
        <v>106</v>
      </c>
      <c r="BL10" t="n">
        <v>66.25</v>
      </c>
      <c r="BM10" t="n">
        <v>67</v>
      </c>
      <c r="BN10" t="n">
        <v>37</v>
      </c>
      <c r="BO10" t="n">
        <v>55.22</v>
      </c>
      <c r="BP10" t="n">
        <v>60</v>
      </c>
      <c r="BQ10" t="n">
        <v>36</v>
      </c>
      <c r="BR10" t="n">
        <v>60</v>
      </c>
      <c r="BS10" t="n">
        <v>82</v>
      </c>
      <c r="BT10" t="n">
        <v>49</v>
      </c>
      <c r="BU10" t="n">
        <v>59.76</v>
      </c>
      <c r="BV10" t="n">
        <v>34</v>
      </c>
      <c r="BW10" t="n">
        <v>29</v>
      </c>
      <c r="BX10" t="n">
        <v>85.29000000000001</v>
      </c>
      <c r="BY10" t="n">
        <v>4.92</v>
      </c>
    </row>
    <row r="11" ht="12" customHeight="1" s="21">
      <c r="E11" t="inlineStr">
        <is>
          <t>Subiaco</t>
        </is>
      </c>
      <c r="F11" t="inlineStr">
        <is>
          <t>4-3-3 (100.0%)</t>
        </is>
      </c>
      <c r="G11" t="n">
        <v>0</v>
      </c>
      <c r="H11" t="n">
        <v>0.13</v>
      </c>
      <c r="I11" t="n">
        <v>5</v>
      </c>
      <c r="J11" t="n">
        <v>1</v>
      </c>
      <c r="K11" t="n">
        <v>20</v>
      </c>
      <c r="L11" t="n">
        <v>44.1</v>
      </c>
      <c r="M11" t="n">
        <v>164</v>
      </c>
      <c r="N11" t="n">
        <v>39</v>
      </c>
      <c r="O11" t="n">
        <v>58</v>
      </c>
      <c r="P11" t="n">
        <v>67</v>
      </c>
      <c r="Q11" t="n">
        <v>89</v>
      </c>
      <c r="R11" t="n">
        <v>41</v>
      </c>
      <c r="S11" t="n">
        <v>36</v>
      </c>
      <c r="T11" t="n">
        <v>12</v>
      </c>
      <c r="U11" t="n">
        <v>242</v>
      </c>
      <c r="V11" t="n">
        <v>107</v>
      </c>
      <c r="W11" t="n">
        <v>44.21</v>
      </c>
      <c r="X11" t="n">
        <v>4</v>
      </c>
      <c r="Y11" t="n">
        <v>1</v>
      </c>
      <c r="Z11" t="n">
        <v>25</v>
      </c>
      <c r="AA11" t="n">
        <v>29</v>
      </c>
      <c r="AB11" t="n">
        <v>4</v>
      </c>
      <c r="AC11" t="n">
        <v>13.79</v>
      </c>
      <c r="AD11" t="n">
        <v>24</v>
      </c>
      <c r="AE11" t="n">
        <v>1</v>
      </c>
      <c r="AF11" t="n">
        <v>4.17</v>
      </c>
      <c r="AG11" t="n">
        <v>5</v>
      </c>
      <c r="AH11" t="n">
        <v>1</v>
      </c>
      <c r="AI11" t="n">
        <v>20</v>
      </c>
      <c r="AJ11" t="n">
        <v>8</v>
      </c>
      <c r="AK11" t="n">
        <v>1</v>
      </c>
      <c r="AL11" t="n">
        <v>12.5</v>
      </c>
      <c r="AM11" t="n">
        <v>3</v>
      </c>
      <c r="AN11" t="n">
        <v>7</v>
      </c>
      <c r="AO11" t="n">
        <v>86</v>
      </c>
      <c r="AP11" t="n">
        <v>21</v>
      </c>
      <c r="AQ11" t="n">
        <v>24.42</v>
      </c>
      <c r="AR11" t="n">
        <v>5</v>
      </c>
      <c r="AS11" t="n">
        <v>16</v>
      </c>
      <c r="AT11" t="n">
        <v>14</v>
      </c>
      <c r="AU11" t="n">
        <v>87.5</v>
      </c>
      <c r="AV11" t="n">
        <v>99</v>
      </c>
      <c r="AW11" t="n">
        <v>62</v>
      </c>
      <c r="AX11" t="n">
        <v>62.63</v>
      </c>
      <c r="AY11" t="n">
        <v>25</v>
      </c>
      <c r="AZ11" t="n">
        <v>9</v>
      </c>
      <c r="BA11" t="n">
        <v>36</v>
      </c>
      <c r="BB11" t="n">
        <v>3</v>
      </c>
      <c r="BC11" t="n">
        <v>2</v>
      </c>
      <c r="BD11" t="n">
        <v>66.67</v>
      </c>
      <c r="BE11" t="n">
        <v>36</v>
      </c>
      <c r="BF11" t="n">
        <v>20</v>
      </c>
      <c r="BG11" t="n">
        <v>8</v>
      </c>
      <c r="BH11" t="n">
        <v>2</v>
      </c>
      <c r="BI11" t="n">
        <v>0</v>
      </c>
      <c r="BJ11" t="n">
        <v>144</v>
      </c>
      <c r="BK11" t="n">
        <v>73</v>
      </c>
      <c r="BL11" t="n">
        <v>50.69</v>
      </c>
      <c r="BM11" t="n">
        <v>79</v>
      </c>
      <c r="BN11" t="n">
        <v>37</v>
      </c>
      <c r="BO11" t="n">
        <v>46.84</v>
      </c>
      <c r="BP11" t="n">
        <v>42</v>
      </c>
      <c r="BQ11" t="n">
        <v>23</v>
      </c>
      <c r="BR11" t="n">
        <v>54.76</v>
      </c>
      <c r="BS11" t="n">
        <v>81</v>
      </c>
      <c r="BT11" t="n">
        <v>36</v>
      </c>
      <c r="BU11" t="n">
        <v>44.44</v>
      </c>
      <c r="BV11" t="n">
        <v>35</v>
      </c>
      <c r="BW11" t="n">
        <v>24</v>
      </c>
      <c r="BX11" t="n">
        <v>68.56999999999999</v>
      </c>
      <c r="BY11" t="n">
        <v>8.960000000000001</v>
      </c>
    </row>
    <row r="12" ht="12" customHeight="1" s="21">
      <c r="A12" t="inlineStr">
        <is>
          <t>2026-05-16</t>
        </is>
      </c>
      <c r="B12" t="inlineStr">
        <is>
          <t>West NTC - Perth 0:1</t>
        </is>
      </c>
      <c r="C12" t="inlineStr">
        <is>
          <t>Australia. Western Australia NPL Women</t>
        </is>
      </c>
      <c r="D12" t="n">
        <v>93</v>
      </c>
      <c r="E12" t="inlineStr">
        <is>
          <t>Perth</t>
        </is>
      </c>
      <c r="F12" t="inlineStr">
        <is>
          <t>4-1-4-1 (100.0%)</t>
        </is>
      </c>
      <c r="G12" t="n">
        <v>1</v>
      </c>
      <c r="H12" t="n">
        <v>1</v>
      </c>
      <c r="I12" t="n">
        <v>12</v>
      </c>
      <c r="J12" t="n">
        <v>6</v>
      </c>
      <c r="K12" t="n">
        <v>50</v>
      </c>
      <c r="L12" t="n">
        <v>64.13</v>
      </c>
      <c r="M12" t="n">
        <v>176</v>
      </c>
      <c r="N12" t="n">
        <v>25</v>
      </c>
      <c r="O12" t="n">
        <v>63</v>
      </c>
      <c r="P12" t="n">
        <v>88</v>
      </c>
      <c r="Q12" t="n">
        <v>121</v>
      </c>
      <c r="R12" t="n">
        <v>32</v>
      </c>
      <c r="S12" t="n">
        <v>63</v>
      </c>
      <c r="T12" t="n">
        <v>26</v>
      </c>
      <c r="U12" t="n">
        <v>221</v>
      </c>
      <c r="V12" t="n">
        <v>124</v>
      </c>
      <c r="W12" t="n">
        <v>56.11</v>
      </c>
      <c r="X12" t="n">
        <v>7</v>
      </c>
      <c r="Y12" t="n">
        <v>4</v>
      </c>
      <c r="Z12" t="n">
        <v>57.14</v>
      </c>
      <c r="AA12" t="n">
        <v>41</v>
      </c>
      <c r="AB12" t="n">
        <v>8</v>
      </c>
      <c r="AC12" t="n">
        <v>19.51</v>
      </c>
      <c r="AD12" t="n">
        <v>15</v>
      </c>
      <c r="AE12" t="n">
        <v>3</v>
      </c>
      <c r="AF12" t="n">
        <v>20</v>
      </c>
      <c r="AG12" t="n">
        <v>9</v>
      </c>
      <c r="AH12" t="n">
        <v>2</v>
      </c>
      <c r="AI12" t="n">
        <v>22.22</v>
      </c>
      <c r="AJ12" t="n">
        <v>10</v>
      </c>
      <c r="AK12" t="n">
        <v>1</v>
      </c>
      <c r="AL12" t="n">
        <v>10</v>
      </c>
      <c r="AM12" t="n">
        <v>6</v>
      </c>
      <c r="AN12" t="n">
        <v>12</v>
      </c>
      <c r="AO12" t="n">
        <v>82</v>
      </c>
      <c r="AP12" t="n">
        <v>25</v>
      </c>
      <c r="AQ12" t="n">
        <v>30.49</v>
      </c>
      <c r="AR12" t="n">
        <v>0</v>
      </c>
      <c r="AS12" t="n">
        <v>8</v>
      </c>
      <c r="AT12" t="n">
        <v>6</v>
      </c>
      <c r="AU12" t="n">
        <v>75</v>
      </c>
      <c r="AV12" t="n">
        <v>110</v>
      </c>
      <c r="AW12" t="n">
        <v>85</v>
      </c>
      <c r="AX12" t="n">
        <v>77.27</v>
      </c>
      <c r="AY12" t="n">
        <v>19</v>
      </c>
      <c r="AZ12" t="n">
        <v>9</v>
      </c>
      <c r="BA12" t="n">
        <v>47.37</v>
      </c>
      <c r="BB12" t="n">
        <v>3</v>
      </c>
      <c r="BC12" t="n">
        <v>1</v>
      </c>
      <c r="BD12" t="n">
        <v>33.33</v>
      </c>
      <c r="BE12" t="n">
        <v>62</v>
      </c>
      <c r="BF12" t="n">
        <v>14</v>
      </c>
      <c r="BG12" t="n">
        <v>7</v>
      </c>
      <c r="BH12" t="n">
        <v>0</v>
      </c>
      <c r="BI12" t="n">
        <v>0</v>
      </c>
      <c r="BJ12" t="n">
        <v>200</v>
      </c>
      <c r="BK12" t="n">
        <v>123</v>
      </c>
      <c r="BL12" t="n">
        <v>61.5</v>
      </c>
      <c r="BM12" t="n">
        <v>59</v>
      </c>
      <c r="BN12" t="n">
        <v>23</v>
      </c>
      <c r="BO12" t="n">
        <v>38.98</v>
      </c>
      <c r="BP12" t="n">
        <v>73</v>
      </c>
      <c r="BQ12" t="n">
        <v>38</v>
      </c>
      <c r="BR12" t="n">
        <v>52.05</v>
      </c>
      <c r="BS12" t="n">
        <v>79</v>
      </c>
      <c r="BT12" t="n">
        <v>47</v>
      </c>
      <c r="BU12" t="n">
        <v>59.49</v>
      </c>
      <c r="BV12" t="n">
        <v>44</v>
      </c>
      <c r="BW12" t="n">
        <v>29</v>
      </c>
      <c r="BX12" t="n">
        <v>65.91</v>
      </c>
      <c r="BY12" t="n">
        <v>3.74</v>
      </c>
    </row>
    <row r="13" ht="12" customHeight="1" s="21">
      <c r="E13" t="inlineStr">
        <is>
          <t>West NTC</t>
        </is>
      </c>
      <c r="F13" t="inlineStr">
        <is>
          <t>4-4-2 (100.0%)</t>
        </is>
      </c>
      <c r="G13" t="n">
        <v>0</v>
      </c>
      <c r="H13" t="n">
        <v>0.38</v>
      </c>
      <c r="I13" t="n">
        <v>8</v>
      </c>
      <c r="J13" t="n">
        <v>4</v>
      </c>
      <c r="K13" t="n">
        <v>50</v>
      </c>
      <c r="L13" t="n">
        <v>35.87</v>
      </c>
      <c r="M13" t="n">
        <v>183</v>
      </c>
      <c r="N13" t="n">
        <v>34</v>
      </c>
      <c r="O13" t="n">
        <v>95</v>
      </c>
      <c r="P13" t="n">
        <v>54</v>
      </c>
      <c r="Q13" t="n">
        <v>102</v>
      </c>
      <c r="R13" t="n">
        <v>50</v>
      </c>
      <c r="S13" t="n">
        <v>40</v>
      </c>
      <c r="T13" t="n">
        <v>12</v>
      </c>
      <c r="U13" t="n">
        <v>221</v>
      </c>
      <c r="V13" t="n">
        <v>93</v>
      </c>
      <c r="W13" t="n">
        <v>42.08</v>
      </c>
      <c r="X13" t="n">
        <v>5</v>
      </c>
      <c r="Y13" t="n">
        <v>2</v>
      </c>
      <c r="Z13" t="n">
        <v>40</v>
      </c>
      <c r="AA13" t="n">
        <v>23</v>
      </c>
      <c r="AB13" t="n">
        <v>6</v>
      </c>
      <c r="AC13" t="n">
        <v>26.09</v>
      </c>
      <c r="AD13" t="n">
        <v>22</v>
      </c>
      <c r="AE13" t="n">
        <v>1</v>
      </c>
      <c r="AF13" t="n">
        <v>4.55</v>
      </c>
      <c r="AG13" t="n">
        <v>3</v>
      </c>
      <c r="AH13" t="n">
        <v>0</v>
      </c>
      <c r="AI13" t="n">
        <v>0</v>
      </c>
      <c r="AJ13" t="n">
        <v>6</v>
      </c>
      <c r="AK13" t="n">
        <v>1</v>
      </c>
      <c r="AL13" t="n">
        <v>16.67</v>
      </c>
      <c r="AM13" t="n">
        <v>1</v>
      </c>
      <c r="AN13" t="n">
        <v>7</v>
      </c>
      <c r="AO13" t="n">
        <v>110</v>
      </c>
      <c r="AP13" t="n">
        <v>25</v>
      </c>
      <c r="AQ13" t="n">
        <v>22.73</v>
      </c>
      <c r="AR13" t="n">
        <v>1</v>
      </c>
      <c r="AS13" t="n">
        <v>12</v>
      </c>
      <c r="AT13" t="n">
        <v>6</v>
      </c>
      <c r="AU13" t="n">
        <v>50</v>
      </c>
      <c r="AV13" t="n">
        <v>82</v>
      </c>
      <c r="AW13" t="n">
        <v>57</v>
      </c>
      <c r="AX13" t="n">
        <v>69.51000000000001</v>
      </c>
      <c r="AY13" t="n">
        <v>19</v>
      </c>
      <c r="AZ13" t="n">
        <v>8</v>
      </c>
      <c r="BA13" t="n">
        <v>42.11</v>
      </c>
      <c r="BB13" t="n">
        <v>0</v>
      </c>
      <c r="BC13" t="n">
        <v>0</v>
      </c>
      <c r="BD13" t="n">
        <v>0</v>
      </c>
      <c r="BE13" t="n">
        <v>62</v>
      </c>
      <c r="BF13" t="n">
        <v>16</v>
      </c>
      <c r="BG13" t="n">
        <v>3</v>
      </c>
      <c r="BH13" t="n">
        <v>0</v>
      </c>
      <c r="BI13" t="n">
        <v>0</v>
      </c>
      <c r="BJ13" t="n">
        <v>133</v>
      </c>
      <c r="BK13" t="n">
        <v>60</v>
      </c>
      <c r="BL13" t="n">
        <v>45.11</v>
      </c>
      <c r="BM13" t="n">
        <v>49</v>
      </c>
      <c r="BN13" t="n">
        <v>16</v>
      </c>
      <c r="BO13" t="n">
        <v>32.65</v>
      </c>
      <c r="BP13" t="n">
        <v>37</v>
      </c>
      <c r="BQ13" t="n">
        <v>16</v>
      </c>
      <c r="BR13" t="n">
        <v>43.24</v>
      </c>
      <c r="BS13" t="n">
        <v>74</v>
      </c>
      <c r="BT13" t="n">
        <v>21</v>
      </c>
      <c r="BU13" t="n">
        <v>28.38</v>
      </c>
      <c r="BV13" t="n">
        <v>51</v>
      </c>
      <c r="BW13" t="n">
        <v>30</v>
      </c>
      <c r="BX13" t="n">
        <v>58.82</v>
      </c>
      <c r="BY13" t="n">
        <v>18.32</v>
      </c>
    </row>
    <row r="14" ht="12" customHeight="1" s="21">
      <c r="A14" t="inlineStr">
        <is>
          <t>2026-05-02</t>
        </is>
      </c>
      <c r="B14" t="inlineStr">
        <is>
          <t>Perth - Perth RedStar 1:1</t>
        </is>
      </c>
      <c r="C14" t="inlineStr">
        <is>
          <t>Australia. Western Australia NPL Women</t>
        </is>
      </c>
      <c r="D14" t="n">
        <v>96</v>
      </c>
      <c r="E14" t="inlineStr">
        <is>
          <t>Perth</t>
        </is>
      </c>
      <c r="F14" t="inlineStr">
        <is>
          <t>4-1-4-1 (100.0%)</t>
        </is>
      </c>
      <c r="G14" t="n">
        <v>1</v>
      </c>
      <c r="H14" t="n">
        <v>1.38</v>
      </c>
      <c r="I14" t="n">
        <v>11</v>
      </c>
      <c r="J14" t="n">
        <v>6</v>
      </c>
      <c r="K14" t="n">
        <v>54.55</v>
      </c>
      <c r="L14" t="n">
        <v>45.86</v>
      </c>
      <c r="M14" t="n">
        <v>155</v>
      </c>
      <c r="N14" t="n">
        <v>19</v>
      </c>
      <c r="O14" t="n">
        <v>60</v>
      </c>
      <c r="P14" t="n">
        <v>76</v>
      </c>
      <c r="Q14" t="n">
        <v>120</v>
      </c>
      <c r="R14" t="n">
        <v>47</v>
      </c>
      <c r="S14" t="n">
        <v>63</v>
      </c>
      <c r="T14" t="n">
        <v>10</v>
      </c>
      <c r="U14" t="n">
        <v>259</v>
      </c>
      <c r="V14" t="n">
        <v>141</v>
      </c>
      <c r="W14" t="n">
        <v>54.44</v>
      </c>
      <c r="X14" t="n">
        <v>4</v>
      </c>
      <c r="Y14" t="n">
        <v>2</v>
      </c>
      <c r="Z14" t="n">
        <v>50</v>
      </c>
      <c r="AA14" t="n">
        <v>27</v>
      </c>
      <c r="AB14" t="n">
        <v>7</v>
      </c>
      <c r="AC14" t="n">
        <v>25.93</v>
      </c>
      <c r="AD14" t="n">
        <v>19</v>
      </c>
      <c r="AE14" t="n">
        <v>3</v>
      </c>
      <c r="AF14" t="n">
        <v>15.79</v>
      </c>
      <c r="AG14" t="n">
        <v>6</v>
      </c>
      <c r="AH14" t="n">
        <v>1</v>
      </c>
      <c r="AI14" t="n">
        <v>16.67</v>
      </c>
      <c r="AJ14" t="n">
        <v>15</v>
      </c>
      <c r="AK14" t="n">
        <v>5</v>
      </c>
      <c r="AL14" t="n">
        <v>33.33</v>
      </c>
      <c r="AM14" t="n">
        <v>5</v>
      </c>
      <c r="AN14" t="n">
        <v>18</v>
      </c>
      <c r="AO14" t="n">
        <v>76</v>
      </c>
      <c r="AP14" t="n">
        <v>18</v>
      </c>
      <c r="AQ14" t="n">
        <v>23.68</v>
      </c>
      <c r="AR14" t="n">
        <v>1</v>
      </c>
      <c r="AS14" t="n">
        <v>6</v>
      </c>
      <c r="AT14" t="n">
        <v>1</v>
      </c>
      <c r="AU14" t="n">
        <v>16.67</v>
      </c>
      <c r="AV14" t="n">
        <v>129</v>
      </c>
      <c r="AW14" t="n">
        <v>102</v>
      </c>
      <c r="AX14" t="n">
        <v>79.06999999999999</v>
      </c>
      <c r="AY14" t="n">
        <v>33</v>
      </c>
      <c r="AZ14" t="n">
        <v>11</v>
      </c>
      <c r="BA14" t="n">
        <v>33.33</v>
      </c>
      <c r="BB14" t="n">
        <v>1</v>
      </c>
      <c r="BC14" t="n">
        <v>1</v>
      </c>
      <c r="BD14" t="n">
        <v>100</v>
      </c>
      <c r="BE14" t="n">
        <v>51</v>
      </c>
      <c r="BF14" t="n">
        <v>32</v>
      </c>
      <c r="BG14" t="n">
        <v>8</v>
      </c>
      <c r="BH14" t="n">
        <v>1</v>
      </c>
      <c r="BI14" t="n">
        <v>0</v>
      </c>
      <c r="BJ14" t="n">
        <v>161</v>
      </c>
      <c r="BK14" t="n">
        <v>105</v>
      </c>
      <c r="BL14" t="n">
        <v>65.22</v>
      </c>
      <c r="BM14" t="n">
        <v>65</v>
      </c>
      <c r="BN14" t="n">
        <v>27</v>
      </c>
      <c r="BO14" t="n">
        <v>41.54</v>
      </c>
      <c r="BP14" t="n">
        <v>61</v>
      </c>
      <c r="BQ14" t="n">
        <v>32</v>
      </c>
      <c r="BR14" t="n">
        <v>52.46</v>
      </c>
      <c r="BS14" t="n">
        <v>81</v>
      </c>
      <c r="BT14" t="n">
        <v>53</v>
      </c>
      <c r="BU14" t="n">
        <v>65.43000000000001</v>
      </c>
      <c r="BV14" t="n">
        <v>26</v>
      </c>
      <c r="BW14" t="n">
        <v>17</v>
      </c>
      <c r="BX14" t="n">
        <v>65.38</v>
      </c>
      <c r="BY14" t="n">
        <v>7.16</v>
      </c>
    </row>
    <row r="15" ht="12" customHeight="1" s="21">
      <c r="E15" t="inlineStr">
        <is>
          <t>Perth RedStar</t>
        </is>
      </c>
      <c r="F15" t="inlineStr">
        <is>
          <t>4-4-2 (100.0%)</t>
        </is>
      </c>
      <c r="G15" t="n">
        <v>1</v>
      </c>
      <c r="H15" t="n">
        <v>0.6</v>
      </c>
      <c r="I15" t="n">
        <v>6</v>
      </c>
      <c r="J15" t="n">
        <v>1</v>
      </c>
      <c r="K15" t="n">
        <v>16.67</v>
      </c>
      <c r="L15" t="n">
        <v>54.14</v>
      </c>
      <c r="M15" t="n">
        <v>157</v>
      </c>
      <c r="N15" t="n">
        <v>21</v>
      </c>
      <c r="O15" t="n">
        <v>68</v>
      </c>
      <c r="P15" t="n">
        <v>68</v>
      </c>
      <c r="Q15" t="n">
        <v>105</v>
      </c>
      <c r="R15" t="n">
        <v>44</v>
      </c>
      <c r="S15" t="n">
        <v>46</v>
      </c>
      <c r="T15" t="n">
        <v>15</v>
      </c>
      <c r="U15" t="n">
        <v>259</v>
      </c>
      <c r="V15" t="n">
        <v>116</v>
      </c>
      <c r="W15" t="n">
        <v>44.79</v>
      </c>
      <c r="X15" t="n">
        <v>3</v>
      </c>
      <c r="Y15" t="n">
        <v>0</v>
      </c>
      <c r="Z15" t="n">
        <v>0</v>
      </c>
      <c r="AA15" t="n">
        <v>30</v>
      </c>
      <c r="AB15" t="n">
        <v>3</v>
      </c>
      <c r="AC15" t="n">
        <v>10</v>
      </c>
      <c r="AD15" t="n">
        <v>21</v>
      </c>
      <c r="AE15" t="n">
        <v>2</v>
      </c>
      <c r="AF15" t="n">
        <v>9.52</v>
      </c>
      <c r="AG15" t="n">
        <v>5</v>
      </c>
      <c r="AH15" t="n">
        <v>1</v>
      </c>
      <c r="AI15" t="n">
        <v>20</v>
      </c>
      <c r="AJ15" t="n">
        <v>10</v>
      </c>
      <c r="AK15" t="n">
        <v>2</v>
      </c>
      <c r="AL15" t="n">
        <v>20</v>
      </c>
      <c r="AM15" t="n">
        <v>5</v>
      </c>
      <c r="AN15" t="n">
        <v>7</v>
      </c>
      <c r="AO15" t="n">
        <v>129</v>
      </c>
      <c r="AP15" t="n">
        <v>27</v>
      </c>
      <c r="AQ15" t="n">
        <v>20.93</v>
      </c>
      <c r="AR15" t="n">
        <v>1</v>
      </c>
      <c r="AS15" t="n">
        <v>11</v>
      </c>
      <c r="AT15" t="n">
        <v>6</v>
      </c>
      <c r="AU15" t="n">
        <v>54.55</v>
      </c>
      <c r="AV15" t="n">
        <v>76</v>
      </c>
      <c r="AW15" t="n">
        <v>58</v>
      </c>
      <c r="AX15" t="n">
        <v>76.31999999999999</v>
      </c>
      <c r="AY15" t="n">
        <v>33</v>
      </c>
      <c r="AZ15" t="n">
        <v>21</v>
      </c>
      <c r="BA15" t="n">
        <v>63.64</v>
      </c>
      <c r="BB15" t="n">
        <v>7</v>
      </c>
      <c r="BC15" t="n">
        <v>5</v>
      </c>
      <c r="BD15" t="n">
        <v>71.43000000000001</v>
      </c>
      <c r="BE15" t="n">
        <v>48</v>
      </c>
      <c r="BF15" t="n">
        <v>23</v>
      </c>
      <c r="BG15" t="n">
        <v>5</v>
      </c>
      <c r="BH15" t="n">
        <v>1</v>
      </c>
      <c r="BI15" t="n">
        <v>0</v>
      </c>
      <c r="BJ15" t="n">
        <v>155</v>
      </c>
      <c r="BK15" t="n">
        <v>97</v>
      </c>
      <c r="BL15" t="n">
        <v>62.58</v>
      </c>
      <c r="BM15" t="n">
        <v>51</v>
      </c>
      <c r="BN15" t="n">
        <v>20</v>
      </c>
      <c r="BO15" t="n">
        <v>39.22</v>
      </c>
      <c r="BP15" t="n">
        <v>58</v>
      </c>
      <c r="BQ15" t="n">
        <v>31</v>
      </c>
      <c r="BR15" t="n">
        <v>53.45</v>
      </c>
      <c r="BS15" t="n">
        <v>81</v>
      </c>
      <c r="BT15" t="n">
        <v>50</v>
      </c>
      <c r="BU15" t="n">
        <v>61.73</v>
      </c>
      <c r="BV15" t="n">
        <v>35</v>
      </c>
      <c r="BW15" t="n">
        <v>29</v>
      </c>
      <c r="BX15" t="n">
        <v>82.86</v>
      </c>
      <c r="BY15" t="n">
        <v>7.69</v>
      </c>
    </row>
    <row r="16" ht="12" customHeight="1" s="21">
      <c r="A16" t="inlineStr">
        <is>
          <t>2026-04-26</t>
        </is>
      </c>
      <c r="B16" t="inlineStr">
        <is>
          <t>UWA Nedlands - Perth 1:3</t>
        </is>
      </c>
      <c r="C16" t="inlineStr">
        <is>
          <t>Australia. Western Australia NPL Women</t>
        </is>
      </c>
      <c r="D16" t="n">
        <v>93</v>
      </c>
      <c r="E16" t="inlineStr">
        <is>
          <t>Perth</t>
        </is>
      </c>
      <c r="F16" t="inlineStr">
        <is>
          <t>4-3-3 (100.0%)</t>
        </is>
      </c>
      <c r="G16" t="n">
        <v>3</v>
      </c>
      <c r="H16" t="n">
        <v>1.68</v>
      </c>
      <c r="I16" t="n">
        <v>17</v>
      </c>
      <c r="J16" t="n">
        <v>8</v>
      </c>
      <c r="K16" t="n">
        <v>47.06</v>
      </c>
      <c r="L16" t="n">
        <v>52</v>
      </c>
      <c r="M16" t="n">
        <v>113</v>
      </c>
      <c r="N16" t="n">
        <v>10</v>
      </c>
      <c r="O16" t="n">
        <v>41</v>
      </c>
      <c r="P16" t="n">
        <v>62</v>
      </c>
      <c r="Q16" t="n">
        <v>92</v>
      </c>
      <c r="R16" t="n">
        <v>29</v>
      </c>
      <c r="S16" t="n">
        <v>39</v>
      </c>
      <c r="T16" t="n">
        <v>24</v>
      </c>
      <c r="U16" t="n">
        <v>203</v>
      </c>
      <c r="V16" t="n">
        <v>106</v>
      </c>
      <c r="W16" t="n">
        <v>52.22</v>
      </c>
      <c r="X16" t="n">
        <v>7</v>
      </c>
      <c r="Y16" t="n">
        <v>3</v>
      </c>
      <c r="Z16" t="n">
        <v>42.86</v>
      </c>
      <c r="AA16" t="n">
        <v>50</v>
      </c>
      <c r="AB16" t="n">
        <v>13</v>
      </c>
      <c r="AC16" t="n">
        <v>26</v>
      </c>
      <c r="AD16" t="n">
        <v>20</v>
      </c>
      <c r="AE16" t="n">
        <v>4</v>
      </c>
      <c r="AF16" t="n">
        <v>20</v>
      </c>
      <c r="AG16" t="n">
        <v>11</v>
      </c>
      <c r="AH16" t="n">
        <v>3</v>
      </c>
      <c r="AI16" t="n">
        <v>27.27</v>
      </c>
      <c r="AJ16" t="n">
        <v>29</v>
      </c>
      <c r="AK16" t="n">
        <v>9</v>
      </c>
      <c r="AL16" t="n">
        <v>31.03</v>
      </c>
      <c r="AM16" t="n">
        <v>6</v>
      </c>
      <c r="AN16" t="n">
        <v>28</v>
      </c>
      <c r="AO16" t="n">
        <v>73</v>
      </c>
      <c r="AP16" t="n">
        <v>27</v>
      </c>
      <c r="AQ16" t="n">
        <v>36.99</v>
      </c>
      <c r="AR16" t="n">
        <v>1</v>
      </c>
      <c r="AS16" t="n">
        <v>4</v>
      </c>
      <c r="AT16" t="n">
        <v>4</v>
      </c>
      <c r="AU16" t="n">
        <v>100</v>
      </c>
      <c r="AV16" t="n">
        <v>80</v>
      </c>
      <c r="AW16" t="n">
        <v>58</v>
      </c>
      <c r="AX16" t="n">
        <v>72.5</v>
      </c>
      <c r="AY16" t="n">
        <v>19</v>
      </c>
      <c r="AZ16" t="n">
        <v>10</v>
      </c>
      <c r="BA16" t="n">
        <v>52.63</v>
      </c>
      <c r="BB16" t="n">
        <v>1</v>
      </c>
      <c r="BC16" t="n">
        <v>0</v>
      </c>
      <c r="BD16" t="n">
        <v>0</v>
      </c>
      <c r="BE16" t="n">
        <v>30</v>
      </c>
      <c r="BF16" t="n">
        <v>16</v>
      </c>
      <c r="BG16" t="n">
        <v>6</v>
      </c>
      <c r="BH16" t="n">
        <v>0</v>
      </c>
      <c r="BI16" t="n">
        <v>0</v>
      </c>
      <c r="BJ16" t="n">
        <v>149</v>
      </c>
      <c r="BK16" t="n">
        <v>88</v>
      </c>
      <c r="BL16" t="n">
        <v>59.06</v>
      </c>
      <c r="BM16" t="n">
        <v>53</v>
      </c>
      <c r="BN16" t="n">
        <v>23</v>
      </c>
      <c r="BO16" t="n">
        <v>43.4</v>
      </c>
      <c r="BP16" t="n">
        <v>56</v>
      </c>
      <c r="BQ16" t="n">
        <v>29</v>
      </c>
      <c r="BR16" t="n">
        <v>51.79</v>
      </c>
      <c r="BS16" t="n">
        <v>84</v>
      </c>
      <c r="BT16" t="n">
        <v>51</v>
      </c>
      <c r="BU16" t="n">
        <v>60.71</v>
      </c>
      <c r="BV16" t="n">
        <v>41</v>
      </c>
      <c r="BW16" t="n">
        <v>36</v>
      </c>
      <c r="BX16" t="n">
        <v>87.8</v>
      </c>
      <c r="BY16" t="n">
        <v>6.2</v>
      </c>
    </row>
    <row r="17" ht="12" customHeight="1" s="21">
      <c r="E17" t="inlineStr">
        <is>
          <t>UWA Nedlands</t>
        </is>
      </c>
      <c r="F17" t="inlineStr">
        <is>
          <t>4-2-3-1 (100.0%)</t>
        </is>
      </c>
      <c r="G17" t="n">
        <v>1</v>
      </c>
      <c r="H17" t="n">
        <v>0.23</v>
      </c>
      <c r="I17" t="n">
        <v>4</v>
      </c>
      <c r="J17" t="n">
        <v>4</v>
      </c>
      <c r="K17" t="n">
        <v>100</v>
      </c>
      <c r="L17" t="n">
        <v>48</v>
      </c>
      <c r="M17" t="n">
        <v>150</v>
      </c>
      <c r="N17" t="n">
        <v>33</v>
      </c>
      <c r="O17" t="n">
        <v>67</v>
      </c>
      <c r="P17" t="n">
        <v>50</v>
      </c>
      <c r="Q17" t="n">
        <v>75</v>
      </c>
      <c r="R17" t="n">
        <v>40</v>
      </c>
      <c r="S17" t="n">
        <v>31</v>
      </c>
      <c r="T17" t="n">
        <v>4</v>
      </c>
      <c r="U17" t="n">
        <v>203</v>
      </c>
      <c r="V17" t="n">
        <v>93</v>
      </c>
      <c r="W17" t="n">
        <v>45.81</v>
      </c>
      <c r="X17" t="n">
        <v>3</v>
      </c>
      <c r="Y17" t="n">
        <v>3</v>
      </c>
      <c r="Z17" t="n">
        <v>100</v>
      </c>
      <c r="AA17" t="n">
        <v>19</v>
      </c>
      <c r="AB17" t="n">
        <v>1</v>
      </c>
      <c r="AC17" t="n">
        <v>5.26</v>
      </c>
      <c r="AD17" t="n">
        <v>32</v>
      </c>
      <c r="AE17" t="n">
        <v>2</v>
      </c>
      <c r="AF17" t="n">
        <v>6.25</v>
      </c>
      <c r="AG17" t="n">
        <v>3</v>
      </c>
      <c r="AH17" t="n">
        <v>0</v>
      </c>
      <c r="AI17" t="n">
        <v>0</v>
      </c>
      <c r="AJ17" t="n">
        <v>10</v>
      </c>
      <c r="AK17" t="n">
        <v>1</v>
      </c>
      <c r="AL17" t="n">
        <v>10</v>
      </c>
      <c r="AM17" t="n">
        <v>0</v>
      </c>
      <c r="AN17" t="n">
        <v>3</v>
      </c>
      <c r="AO17" t="n">
        <v>80</v>
      </c>
      <c r="AP17" t="n">
        <v>22</v>
      </c>
      <c r="AQ17" t="n">
        <v>27.5</v>
      </c>
      <c r="AR17" t="n">
        <v>3</v>
      </c>
      <c r="AS17" t="n">
        <v>17</v>
      </c>
      <c r="AT17" t="n">
        <v>8</v>
      </c>
      <c r="AU17" t="n">
        <v>47.06</v>
      </c>
      <c r="AV17" t="n">
        <v>73</v>
      </c>
      <c r="AW17" t="n">
        <v>46</v>
      </c>
      <c r="AX17" t="n">
        <v>63.01</v>
      </c>
      <c r="AY17" t="n">
        <v>19</v>
      </c>
      <c r="AZ17" t="n">
        <v>9</v>
      </c>
      <c r="BA17" t="n">
        <v>47.37</v>
      </c>
      <c r="BB17" t="n">
        <v>4</v>
      </c>
      <c r="BC17" t="n">
        <v>2</v>
      </c>
      <c r="BD17" t="n">
        <v>50</v>
      </c>
      <c r="BE17" t="n">
        <v>60</v>
      </c>
      <c r="BF17" t="n">
        <v>22</v>
      </c>
      <c r="BG17" t="n">
        <v>5</v>
      </c>
      <c r="BH17" t="n">
        <v>0</v>
      </c>
      <c r="BI17" t="n">
        <v>0</v>
      </c>
      <c r="BJ17" t="n">
        <v>116</v>
      </c>
      <c r="BK17" t="n">
        <v>65</v>
      </c>
      <c r="BL17" t="n">
        <v>56.03</v>
      </c>
      <c r="BM17" t="n">
        <v>57</v>
      </c>
      <c r="BN17" t="n">
        <v>23</v>
      </c>
      <c r="BO17" t="n">
        <v>40.35</v>
      </c>
      <c r="BP17" t="n">
        <v>44</v>
      </c>
      <c r="BQ17" t="n">
        <v>23</v>
      </c>
      <c r="BR17" t="n">
        <v>52.27</v>
      </c>
      <c r="BS17" t="n">
        <v>68</v>
      </c>
      <c r="BT17" t="n">
        <v>34</v>
      </c>
      <c r="BU17" t="n">
        <v>50</v>
      </c>
      <c r="BV17" t="n">
        <v>31</v>
      </c>
      <c r="BW17" t="n">
        <v>22</v>
      </c>
      <c r="BX17" t="n">
        <v>70.97</v>
      </c>
      <c r="BY17" t="n">
        <v>11.41</v>
      </c>
    </row>
    <row r="18" ht="12" customHeight="1" s="21">
      <c r="A18" t="inlineStr">
        <is>
          <t>2026-04-17</t>
        </is>
      </c>
      <c r="B18" t="inlineStr">
        <is>
          <t>Perth - Balcatta 0:0</t>
        </is>
      </c>
      <c r="C18" t="inlineStr">
        <is>
          <t>Australia. Western Australia NPL Women</t>
        </is>
      </c>
      <c r="D18" t="n">
        <v>99</v>
      </c>
      <c r="E18" t="inlineStr">
        <is>
          <t>Perth</t>
        </is>
      </c>
      <c r="F18" t="inlineStr">
        <is>
          <t>4-1-4-1 (100.0%)</t>
        </is>
      </c>
      <c r="G18" t="n">
        <v>0</v>
      </c>
      <c r="H18" t="n">
        <v>1.24</v>
      </c>
      <c r="I18" t="n">
        <v>13</v>
      </c>
      <c r="J18" t="n">
        <v>4</v>
      </c>
      <c r="K18" t="n">
        <v>30.77</v>
      </c>
      <c r="L18" t="n">
        <v>39.92</v>
      </c>
      <c r="M18" t="n">
        <v>137</v>
      </c>
      <c r="N18" t="n">
        <v>17</v>
      </c>
      <c r="O18" t="n">
        <v>60</v>
      </c>
      <c r="P18" t="n">
        <v>60</v>
      </c>
      <c r="Q18" t="n">
        <v>115</v>
      </c>
      <c r="R18" t="n">
        <v>55</v>
      </c>
      <c r="S18" t="n">
        <v>37</v>
      </c>
      <c r="T18" t="n">
        <v>23</v>
      </c>
      <c r="U18" t="n">
        <v>200</v>
      </c>
      <c r="V18" t="n">
        <v>98</v>
      </c>
      <c r="W18" t="n">
        <v>49</v>
      </c>
      <c r="X18" t="n">
        <v>4</v>
      </c>
      <c r="Y18" t="n">
        <v>2</v>
      </c>
      <c r="Z18" t="n">
        <v>50</v>
      </c>
      <c r="AA18" t="n">
        <v>34</v>
      </c>
      <c r="AB18" t="n">
        <v>12</v>
      </c>
      <c r="AC18" t="n">
        <v>35.29</v>
      </c>
      <c r="AD18" t="n">
        <v>20</v>
      </c>
      <c r="AE18" t="n">
        <v>1</v>
      </c>
      <c r="AF18" t="n">
        <v>5</v>
      </c>
      <c r="AG18" t="n">
        <v>4</v>
      </c>
      <c r="AH18" t="n">
        <v>1</v>
      </c>
      <c r="AI18" t="n">
        <v>25</v>
      </c>
      <c r="AJ18" t="n">
        <v>17</v>
      </c>
      <c r="AK18" t="n">
        <v>8</v>
      </c>
      <c r="AL18" t="n">
        <v>47.06</v>
      </c>
      <c r="AM18" t="n">
        <v>3</v>
      </c>
      <c r="AN18" t="n">
        <v>16</v>
      </c>
      <c r="AO18" t="n">
        <v>68</v>
      </c>
      <c r="AP18" t="n">
        <v>22</v>
      </c>
      <c r="AQ18" t="n">
        <v>32.35</v>
      </c>
      <c r="AR18" t="n">
        <v>0</v>
      </c>
      <c r="AS18" t="n">
        <v>10</v>
      </c>
      <c r="AT18" t="n">
        <v>4</v>
      </c>
      <c r="AU18" t="n">
        <v>40</v>
      </c>
      <c r="AV18" t="n">
        <v>83</v>
      </c>
      <c r="AW18" t="n">
        <v>56</v>
      </c>
      <c r="AX18" t="n">
        <v>67.47</v>
      </c>
      <c r="AY18" t="n">
        <v>16</v>
      </c>
      <c r="AZ18" t="n">
        <v>6</v>
      </c>
      <c r="BA18" t="n">
        <v>37.5</v>
      </c>
      <c r="BB18" t="n">
        <v>0</v>
      </c>
      <c r="BC18" t="n">
        <v>0</v>
      </c>
      <c r="BD18" t="n">
        <v>0</v>
      </c>
      <c r="BE18" t="n">
        <v>60</v>
      </c>
      <c r="BF18" t="n">
        <v>14</v>
      </c>
      <c r="BG18" t="n">
        <v>10</v>
      </c>
      <c r="BH18" t="n">
        <v>2</v>
      </c>
      <c r="BI18" t="n">
        <v>0</v>
      </c>
      <c r="BJ18" t="n">
        <v>181</v>
      </c>
      <c r="BK18" t="n">
        <v>108</v>
      </c>
      <c r="BL18" t="n">
        <v>59.67</v>
      </c>
      <c r="BM18" t="n">
        <v>70</v>
      </c>
      <c r="BN18" t="n">
        <v>27</v>
      </c>
      <c r="BO18" t="n">
        <v>38.57</v>
      </c>
      <c r="BP18" t="n">
        <v>49</v>
      </c>
      <c r="BQ18" t="n">
        <v>25</v>
      </c>
      <c r="BR18" t="n">
        <v>51.02</v>
      </c>
      <c r="BS18" t="n">
        <v>92</v>
      </c>
      <c r="BT18" t="n">
        <v>48</v>
      </c>
      <c r="BU18" t="n">
        <v>52.17</v>
      </c>
      <c r="BV18" t="n">
        <v>23</v>
      </c>
      <c r="BW18" t="n">
        <v>18</v>
      </c>
      <c r="BX18" t="n">
        <v>78.26000000000001</v>
      </c>
      <c r="BY18" t="n">
        <v>9.02</v>
      </c>
    </row>
    <row r="19" ht="12" customHeight="1" s="21">
      <c r="E19" t="inlineStr">
        <is>
          <t>Balcatta</t>
        </is>
      </c>
      <c r="F19" t="inlineStr">
        <is>
          <t>4-4-1-1 (100.0%)</t>
        </is>
      </c>
      <c r="G19" t="n">
        <v>0</v>
      </c>
      <c r="H19" t="n">
        <v>0.73</v>
      </c>
      <c r="I19" t="n">
        <v>10</v>
      </c>
      <c r="J19" t="n">
        <v>4</v>
      </c>
      <c r="K19" t="n">
        <v>40</v>
      </c>
      <c r="L19" t="n">
        <v>60.08</v>
      </c>
      <c r="M19" t="n">
        <v>162</v>
      </c>
      <c r="N19" t="n">
        <v>31</v>
      </c>
      <c r="O19" t="n">
        <v>52</v>
      </c>
      <c r="P19" t="n">
        <v>79</v>
      </c>
      <c r="Q19" t="n">
        <v>104</v>
      </c>
      <c r="R19" t="n">
        <v>41</v>
      </c>
      <c r="S19" t="n">
        <v>53</v>
      </c>
      <c r="T19" t="n">
        <v>10</v>
      </c>
      <c r="U19" t="n">
        <v>200</v>
      </c>
      <c r="V19" t="n">
        <v>99</v>
      </c>
      <c r="W19" t="n">
        <v>49.5</v>
      </c>
      <c r="X19" t="n">
        <v>5</v>
      </c>
      <c r="Y19" t="n">
        <v>1</v>
      </c>
      <c r="Z19" t="n">
        <v>20</v>
      </c>
      <c r="AA19" t="n">
        <v>41</v>
      </c>
      <c r="AB19" t="n">
        <v>6</v>
      </c>
      <c r="AC19" t="n">
        <v>14.63</v>
      </c>
      <c r="AD19" t="n">
        <v>25</v>
      </c>
      <c r="AE19" t="n">
        <v>4</v>
      </c>
      <c r="AF19" t="n">
        <v>16</v>
      </c>
      <c r="AG19" t="n">
        <v>4</v>
      </c>
      <c r="AH19" t="n">
        <v>1</v>
      </c>
      <c r="AI19" t="n">
        <v>25</v>
      </c>
      <c r="AJ19" t="n">
        <v>20</v>
      </c>
      <c r="AK19" t="n">
        <v>4</v>
      </c>
      <c r="AL19" t="n">
        <v>20</v>
      </c>
      <c r="AM19" t="n">
        <v>3</v>
      </c>
      <c r="AN19" t="n">
        <v>13</v>
      </c>
      <c r="AO19" t="n">
        <v>83</v>
      </c>
      <c r="AP19" t="n">
        <v>27</v>
      </c>
      <c r="AQ19" t="n">
        <v>32.53</v>
      </c>
      <c r="AR19" t="n">
        <v>0</v>
      </c>
      <c r="AS19" t="n">
        <v>13</v>
      </c>
      <c r="AT19" t="n">
        <v>4</v>
      </c>
      <c r="AU19" t="n">
        <v>30.77</v>
      </c>
      <c r="AV19" t="n">
        <v>68</v>
      </c>
      <c r="AW19" t="n">
        <v>46</v>
      </c>
      <c r="AX19" t="n">
        <v>67.65000000000001</v>
      </c>
      <c r="AY19" t="n">
        <v>16</v>
      </c>
      <c r="AZ19" t="n">
        <v>9</v>
      </c>
      <c r="BA19" t="n">
        <v>56.25</v>
      </c>
      <c r="BB19" t="n">
        <v>0</v>
      </c>
      <c r="BC19" t="n">
        <v>0</v>
      </c>
      <c r="BD19" t="n">
        <v>0</v>
      </c>
      <c r="BE19" t="n">
        <v>33</v>
      </c>
      <c r="BF19" t="n">
        <v>11</v>
      </c>
      <c r="BG19" t="n">
        <v>6</v>
      </c>
      <c r="BH19" t="n">
        <v>1</v>
      </c>
      <c r="BI19" t="n">
        <v>0</v>
      </c>
      <c r="BJ19" t="n">
        <v>184</v>
      </c>
      <c r="BK19" t="n">
        <v>107</v>
      </c>
      <c r="BL19" t="n">
        <v>58.15</v>
      </c>
      <c r="BM19" t="n">
        <v>53</v>
      </c>
      <c r="BN19" t="n">
        <v>19</v>
      </c>
      <c r="BO19" t="n">
        <v>35.85</v>
      </c>
      <c r="BP19" t="n">
        <v>70</v>
      </c>
      <c r="BQ19" t="n">
        <v>38</v>
      </c>
      <c r="BR19" t="n">
        <v>54.29</v>
      </c>
      <c r="BS19" t="n">
        <v>84</v>
      </c>
      <c r="BT19" t="n">
        <v>49</v>
      </c>
      <c r="BU19" t="n">
        <v>58.33</v>
      </c>
      <c r="BV19" t="n">
        <v>35</v>
      </c>
      <c r="BW19" t="n">
        <v>32</v>
      </c>
      <c r="BX19" t="n">
        <v>91.43000000000001</v>
      </c>
      <c r="BY19" t="n">
        <v>12.58</v>
      </c>
    </row>
    <row r="20" ht="12" customHeight="1" s="21">
      <c r="A20" t="inlineStr">
        <is>
          <t>2026-04-10</t>
        </is>
      </c>
      <c r="B20" t="inlineStr">
        <is>
          <t>Perth - Fremantle City 0:0</t>
        </is>
      </c>
      <c r="C20" t="inlineStr">
        <is>
          <t>Australia. Western Australia NPL Women</t>
        </is>
      </c>
      <c r="D20" t="n">
        <v>95</v>
      </c>
      <c r="E20" t="inlineStr">
        <is>
          <t>Perth</t>
        </is>
      </c>
      <c r="F20" t="inlineStr">
        <is>
          <t>4-2-3-1 (48.4%)</t>
        </is>
      </c>
      <c r="G20" t="n">
        <v>0</v>
      </c>
      <c r="H20" t="n">
        <v>0.53</v>
      </c>
      <c r="I20" t="n">
        <v>10</v>
      </c>
      <c r="J20" t="n">
        <v>3</v>
      </c>
      <c r="K20" t="n">
        <v>30</v>
      </c>
      <c r="L20" t="n">
        <v>51.92</v>
      </c>
      <c r="M20" t="n">
        <v>128</v>
      </c>
      <c r="N20" t="n">
        <v>18</v>
      </c>
      <c r="O20" t="n">
        <v>53</v>
      </c>
      <c r="P20" t="n">
        <v>57</v>
      </c>
      <c r="Q20" t="n">
        <v>97</v>
      </c>
      <c r="R20" t="n">
        <v>54</v>
      </c>
      <c r="S20" t="n">
        <v>32</v>
      </c>
      <c r="T20" t="n">
        <v>11</v>
      </c>
      <c r="U20" t="n">
        <v>173</v>
      </c>
      <c r="V20" t="n">
        <v>87</v>
      </c>
      <c r="W20" t="n">
        <v>50.29</v>
      </c>
      <c r="X20" t="n">
        <v>5</v>
      </c>
      <c r="Y20" t="n">
        <v>2</v>
      </c>
      <c r="Z20" t="n">
        <v>40</v>
      </c>
      <c r="AA20" t="n">
        <v>31</v>
      </c>
      <c r="AB20" t="n">
        <v>9</v>
      </c>
      <c r="AC20" t="n">
        <v>29.03</v>
      </c>
      <c r="AD20" t="n">
        <v>15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13</v>
      </c>
      <c r="AK20" t="n">
        <v>4</v>
      </c>
      <c r="AL20" t="n">
        <v>30.77</v>
      </c>
      <c r="AM20" t="n">
        <v>5</v>
      </c>
      <c r="AN20" t="n">
        <v>14</v>
      </c>
      <c r="AO20" t="n">
        <v>57</v>
      </c>
      <c r="AP20" t="n">
        <v>20</v>
      </c>
      <c r="AQ20" t="n">
        <v>35.09</v>
      </c>
      <c r="AR20" t="n">
        <v>0</v>
      </c>
      <c r="AS20" t="n">
        <v>8</v>
      </c>
      <c r="AT20" t="n">
        <v>0</v>
      </c>
      <c r="AU20" t="n">
        <v>0</v>
      </c>
      <c r="AV20" t="n">
        <v>77</v>
      </c>
      <c r="AW20" t="n">
        <v>49</v>
      </c>
      <c r="AX20" t="n">
        <v>63.64</v>
      </c>
      <c r="AY20" t="n">
        <v>11</v>
      </c>
      <c r="AZ20" t="n">
        <v>2</v>
      </c>
      <c r="BA20" t="n">
        <v>18.18</v>
      </c>
      <c r="BB20" t="n">
        <v>3</v>
      </c>
      <c r="BC20" t="n">
        <v>3</v>
      </c>
      <c r="BD20" t="n">
        <v>100</v>
      </c>
      <c r="BE20" t="n">
        <v>60</v>
      </c>
      <c r="BF20" t="n">
        <v>25</v>
      </c>
      <c r="BG20" t="n">
        <v>7</v>
      </c>
      <c r="BH20" t="n">
        <v>0</v>
      </c>
      <c r="BI20" t="n">
        <v>0</v>
      </c>
      <c r="BJ20" t="n">
        <v>172</v>
      </c>
      <c r="BK20" t="n">
        <v>111</v>
      </c>
      <c r="BL20" t="n">
        <v>64.53</v>
      </c>
      <c r="BM20" t="n">
        <v>54</v>
      </c>
      <c r="BN20" t="n">
        <v>23</v>
      </c>
      <c r="BO20" t="n">
        <v>42.59</v>
      </c>
      <c r="BP20" t="n">
        <v>61</v>
      </c>
      <c r="BQ20" t="n">
        <v>29</v>
      </c>
      <c r="BR20" t="n">
        <v>47.54</v>
      </c>
      <c r="BS20" t="n">
        <v>71</v>
      </c>
      <c r="BT20" t="n">
        <v>51</v>
      </c>
      <c r="BU20" t="n">
        <v>71.83</v>
      </c>
      <c r="BV20" t="n">
        <v>19</v>
      </c>
      <c r="BW20" t="n">
        <v>16</v>
      </c>
      <c r="BX20" t="n">
        <v>84.20999999999999</v>
      </c>
      <c r="BY20" t="n">
        <v>10.93</v>
      </c>
    </row>
    <row r="21" ht="12" customHeight="1" s="21">
      <c r="E21" t="inlineStr">
        <is>
          <t>Fremantle City</t>
        </is>
      </c>
      <c r="F21" t="inlineStr">
        <is>
          <t>4-2-3-1 (100.0%)</t>
        </is>
      </c>
      <c r="G21" t="n">
        <v>0</v>
      </c>
      <c r="H21" t="n">
        <v>0.39</v>
      </c>
      <c r="I21" t="n">
        <v>8</v>
      </c>
      <c r="J21" t="n">
        <v>0</v>
      </c>
      <c r="K21" t="n">
        <v>0</v>
      </c>
      <c r="L21" t="n">
        <v>48.08</v>
      </c>
      <c r="M21" t="n">
        <v>144</v>
      </c>
      <c r="N21" t="n">
        <v>26</v>
      </c>
      <c r="O21" t="n">
        <v>35</v>
      </c>
      <c r="P21" t="n">
        <v>83</v>
      </c>
      <c r="Q21" t="n">
        <v>79</v>
      </c>
      <c r="R21" t="n">
        <v>36</v>
      </c>
      <c r="S21" t="n">
        <v>38</v>
      </c>
      <c r="T21" t="n">
        <v>5</v>
      </c>
      <c r="U21" t="n">
        <v>173</v>
      </c>
      <c r="V21" t="n">
        <v>81</v>
      </c>
      <c r="W21" t="n">
        <v>46.82</v>
      </c>
      <c r="X21" t="n">
        <v>6</v>
      </c>
      <c r="Y21" t="n">
        <v>0</v>
      </c>
      <c r="Z21" t="n">
        <v>0</v>
      </c>
      <c r="AA21" t="n">
        <v>33</v>
      </c>
      <c r="AB21" t="n">
        <v>5</v>
      </c>
      <c r="AC21" t="n">
        <v>15.15</v>
      </c>
      <c r="AD21" t="n">
        <v>20</v>
      </c>
      <c r="AE21" t="n">
        <v>3</v>
      </c>
      <c r="AF21" t="n">
        <v>15</v>
      </c>
      <c r="AG21" t="n">
        <v>5</v>
      </c>
      <c r="AH21" t="n">
        <v>1</v>
      </c>
      <c r="AI21" t="n">
        <v>20</v>
      </c>
      <c r="AJ21" t="n">
        <v>16</v>
      </c>
      <c r="AK21" t="n">
        <v>3</v>
      </c>
      <c r="AL21" t="n">
        <v>18.75</v>
      </c>
      <c r="AM21" t="n">
        <v>2</v>
      </c>
      <c r="AN21" t="n">
        <v>9</v>
      </c>
      <c r="AO21" t="n">
        <v>77</v>
      </c>
      <c r="AP21" t="n">
        <v>28</v>
      </c>
      <c r="AQ21" t="n">
        <v>36.36</v>
      </c>
      <c r="AR21" t="n">
        <v>0</v>
      </c>
      <c r="AS21" t="n">
        <v>10</v>
      </c>
      <c r="AT21" t="n">
        <v>6</v>
      </c>
      <c r="AU21" t="n">
        <v>60</v>
      </c>
      <c r="AV21" t="n">
        <v>57</v>
      </c>
      <c r="AW21" t="n">
        <v>37</v>
      </c>
      <c r="AX21" t="n">
        <v>64.91</v>
      </c>
      <c r="AY21" t="n">
        <v>11</v>
      </c>
      <c r="AZ21" t="n">
        <v>8</v>
      </c>
      <c r="BA21" t="n">
        <v>72.73</v>
      </c>
      <c r="BB21" t="n">
        <v>0</v>
      </c>
      <c r="BC21" t="n">
        <v>0</v>
      </c>
      <c r="BD21" t="n">
        <v>0</v>
      </c>
      <c r="BE21" t="n">
        <v>37</v>
      </c>
      <c r="BF21" t="n">
        <v>13</v>
      </c>
      <c r="BG21" t="n">
        <v>4</v>
      </c>
      <c r="BH21" t="n">
        <v>1</v>
      </c>
      <c r="BI21" t="n">
        <v>0</v>
      </c>
      <c r="BJ21" t="n">
        <v>164</v>
      </c>
      <c r="BK21" t="n">
        <v>108</v>
      </c>
      <c r="BL21" t="n">
        <v>65.84999999999999</v>
      </c>
      <c r="BM21" t="n">
        <v>34</v>
      </c>
      <c r="BN21" t="n">
        <v>16</v>
      </c>
      <c r="BO21" t="n">
        <v>47.06</v>
      </c>
      <c r="BP21" t="n">
        <v>60</v>
      </c>
      <c r="BQ21" t="n">
        <v>33</v>
      </c>
      <c r="BR21" t="n">
        <v>55</v>
      </c>
      <c r="BS21" t="n">
        <v>68</v>
      </c>
      <c r="BT21" t="n">
        <v>43</v>
      </c>
      <c r="BU21" t="n">
        <v>63.24</v>
      </c>
      <c r="BV21" t="n">
        <v>42</v>
      </c>
      <c r="BW21" t="n">
        <v>33</v>
      </c>
      <c r="BX21" t="n">
        <v>78.56999999999999</v>
      </c>
      <c r="BY21" t="n">
        <v>14.72</v>
      </c>
    </row>
    <row r="22" ht="12" customHeight="1" s="21">
      <c r="A22" t="inlineStr">
        <is>
          <t>2026-04-06</t>
        </is>
      </c>
      <c r="B22" t="inlineStr">
        <is>
          <t>Sorrento - Perth 0:2</t>
        </is>
      </c>
      <c r="C22" t="inlineStr">
        <is>
          <t>Australia. Western Australia NPL Women</t>
        </is>
      </c>
      <c r="D22" t="n">
        <v>94</v>
      </c>
      <c r="E22" t="inlineStr">
        <is>
          <t>Perth</t>
        </is>
      </c>
      <c r="F22" t="inlineStr">
        <is>
          <t>4-1-4-1 (100.0%)</t>
        </is>
      </c>
      <c r="G22" t="n">
        <v>2</v>
      </c>
      <c r="H22" t="n">
        <v>1.84</v>
      </c>
      <c r="I22" t="n">
        <v>30</v>
      </c>
      <c r="J22" t="n">
        <v>8</v>
      </c>
      <c r="K22" t="n">
        <v>26.67</v>
      </c>
      <c r="L22" t="n">
        <v>59.94</v>
      </c>
      <c r="M22" t="n">
        <v>112</v>
      </c>
      <c r="N22" t="n">
        <v>10</v>
      </c>
      <c r="O22" t="n">
        <v>35</v>
      </c>
      <c r="P22" t="n">
        <v>67</v>
      </c>
      <c r="Q22" t="n">
        <v>100</v>
      </c>
      <c r="R22" t="n">
        <v>19</v>
      </c>
      <c r="S22" t="n">
        <v>54</v>
      </c>
      <c r="T22" t="n">
        <v>27</v>
      </c>
      <c r="U22" t="n">
        <v>198</v>
      </c>
      <c r="V22" t="n">
        <v>121</v>
      </c>
      <c r="W22" t="n">
        <v>61.11</v>
      </c>
      <c r="X22" t="n">
        <v>18</v>
      </c>
      <c r="Y22" t="n">
        <v>4</v>
      </c>
      <c r="Z22" t="n">
        <v>22.22</v>
      </c>
      <c r="AA22" t="n">
        <v>56</v>
      </c>
      <c r="AB22" t="n">
        <v>23</v>
      </c>
      <c r="AC22" t="n">
        <v>41.07</v>
      </c>
      <c r="AD22" t="n">
        <v>20</v>
      </c>
      <c r="AE22" t="n">
        <v>5</v>
      </c>
      <c r="AF22" t="n">
        <v>25</v>
      </c>
      <c r="AG22" t="n">
        <v>8</v>
      </c>
      <c r="AH22" t="n">
        <v>3</v>
      </c>
      <c r="AI22" t="n">
        <v>37.5</v>
      </c>
      <c r="AJ22" t="n">
        <v>21</v>
      </c>
      <c r="AK22" t="n">
        <v>5</v>
      </c>
      <c r="AL22" t="n">
        <v>23.81</v>
      </c>
      <c r="AM22" t="n">
        <v>10</v>
      </c>
      <c r="AN22" t="n">
        <v>24</v>
      </c>
      <c r="AO22" t="n">
        <v>79</v>
      </c>
      <c r="AP22" t="n">
        <v>33</v>
      </c>
      <c r="AQ22" t="n">
        <v>41.77</v>
      </c>
      <c r="AR22" t="n">
        <v>0</v>
      </c>
      <c r="AS22" t="n">
        <v>7</v>
      </c>
      <c r="AT22" t="n">
        <v>2</v>
      </c>
      <c r="AU22" t="n">
        <v>28.57</v>
      </c>
      <c r="AV22" t="n">
        <v>85</v>
      </c>
      <c r="AW22" t="n">
        <v>65</v>
      </c>
      <c r="AX22" t="n">
        <v>76.47</v>
      </c>
      <c r="AY22" t="n">
        <v>9</v>
      </c>
      <c r="AZ22" t="n">
        <v>7</v>
      </c>
      <c r="BA22" t="n">
        <v>77.78</v>
      </c>
      <c r="BB22" t="n">
        <v>2</v>
      </c>
      <c r="BC22" t="n">
        <v>1</v>
      </c>
      <c r="BD22" t="n">
        <v>50</v>
      </c>
      <c r="BE22" t="n">
        <v>48</v>
      </c>
      <c r="BF22" t="n">
        <v>17</v>
      </c>
      <c r="BG22" t="n">
        <v>9</v>
      </c>
      <c r="BH22" t="n">
        <v>0</v>
      </c>
      <c r="BI22" t="n">
        <v>0</v>
      </c>
      <c r="BJ22" t="n">
        <v>165</v>
      </c>
      <c r="BK22" t="n">
        <v>120</v>
      </c>
      <c r="BL22" t="n">
        <v>72.73</v>
      </c>
      <c r="BM22" t="n">
        <v>39</v>
      </c>
      <c r="BN22" t="n">
        <v>18</v>
      </c>
      <c r="BO22" t="n">
        <v>46.15</v>
      </c>
      <c r="BP22" t="n">
        <v>78</v>
      </c>
      <c r="BQ22" t="n">
        <v>54</v>
      </c>
      <c r="BR22" t="n">
        <v>69.23</v>
      </c>
      <c r="BS22" t="n">
        <v>98</v>
      </c>
      <c r="BT22" t="n">
        <v>76</v>
      </c>
      <c r="BU22" t="n">
        <v>77.55</v>
      </c>
      <c r="BV22" t="n">
        <v>25</v>
      </c>
      <c r="BW22" t="n">
        <v>19</v>
      </c>
      <c r="BX22" t="n">
        <v>76</v>
      </c>
      <c r="BY22" t="n">
        <v>4.37</v>
      </c>
    </row>
    <row r="23" ht="12" customHeight="1" s="21">
      <c r="E23" t="inlineStr">
        <is>
          <t>Sorrento</t>
        </is>
      </c>
      <c r="F23" t="inlineStr">
        <is>
          <t>4-5-1 (100.0%)</t>
        </is>
      </c>
      <c r="G23" t="n">
        <v>0</v>
      </c>
      <c r="H23" t="n">
        <v>0.4</v>
      </c>
      <c r="I23" t="n">
        <v>7</v>
      </c>
      <c r="J23" t="n">
        <v>2</v>
      </c>
      <c r="K23" t="n">
        <v>28.57</v>
      </c>
      <c r="L23" t="n">
        <v>40.06</v>
      </c>
      <c r="M23" t="n">
        <v>134</v>
      </c>
      <c r="N23" t="n">
        <v>38</v>
      </c>
      <c r="O23" t="n">
        <v>68</v>
      </c>
      <c r="P23" t="n">
        <v>28</v>
      </c>
      <c r="Q23" t="n">
        <v>72</v>
      </c>
      <c r="R23" t="n">
        <v>44</v>
      </c>
      <c r="S23" t="n">
        <v>20</v>
      </c>
      <c r="T23" t="n">
        <v>8</v>
      </c>
      <c r="U23" t="n">
        <v>198</v>
      </c>
      <c r="V23" t="n">
        <v>74</v>
      </c>
      <c r="W23" t="n">
        <v>37.37</v>
      </c>
      <c r="X23" t="n">
        <v>4</v>
      </c>
      <c r="Y23" t="n">
        <v>0</v>
      </c>
      <c r="Z23" t="n">
        <v>0</v>
      </c>
      <c r="AA23" t="n">
        <v>19</v>
      </c>
      <c r="AB23" t="n">
        <v>6</v>
      </c>
      <c r="AC23" t="n">
        <v>31.58</v>
      </c>
      <c r="AD23" t="n">
        <v>41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9</v>
      </c>
      <c r="AK23" t="n">
        <v>3</v>
      </c>
      <c r="AL23" t="n">
        <v>33.33</v>
      </c>
      <c r="AM23" t="n">
        <v>3</v>
      </c>
      <c r="AN23" t="n">
        <v>6</v>
      </c>
      <c r="AO23" t="n">
        <v>85</v>
      </c>
      <c r="AP23" t="n">
        <v>20</v>
      </c>
      <c r="AQ23" t="n">
        <v>23.53</v>
      </c>
      <c r="AR23" t="n">
        <v>2</v>
      </c>
      <c r="AS23" t="n">
        <v>30</v>
      </c>
      <c r="AT23" t="n">
        <v>8</v>
      </c>
      <c r="AU23" t="n">
        <v>26.67</v>
      </c>
      <c r="AV23" t="n">
        <v>79</v>
      </c>
      <c r="AW23" t="n">
        <v>46</v>
      </c>
      <c r="AX23" t="n">
        <v>58.23</v>
      </c>
      <c r="AY23" t="n">
        <v>9</v>
      </c>
      <c r="AZ23" t="n">
        <v>1</v>
      </c>
      <c r="BA23" t="n">
        <v>11.11</v>
      </c>
      <c r="BB23" t="n">
        <v>3</v>
      </c>
      <c r="BC23" t="n">
        <v>1</v>
      </c>
      <c r="BD23" t="n">
        <v>33.33</v>
      </c>
      <c r="BE23" t="n">
        <v>51</v>
      </c>
      <c r="BF23" t="n">
        <v>20</v>
      </c>
      <c r="BG23" t="n">
        <v>7</v>
      </c>
      <c r="BH23" t="n">
        <v>1</v>
      </c>
      <c r="BI23" t="n">
        <v>0</v>
      </c>
      <c r="BJ23" t="n">
        <v>153</v>
      </c>
      <c r="BK23" t="n">
        <v>94</v>
      </c>
      <c r="BL23" t="n">
        <v>61.44</v>
      </c>
      <c r="BM23" t="n">
        <v>40</v>
      </c>
      <c r="BN23" t="n">
        <v>18</v>
      </c>
      <c r="BO23" t="n">
        <v>45</v>
      </c>
      <c r="BP23" t="n">
        <v>24</v>
      </c>
      <c r="BQ23" t="n">
        <v>13</v>
      </c>
      <c r="BR23" t="n">
        <v>54.17</v>
      </c>
      <c r="BS23" t="n">
        <v>77</v>
      </c>
      <c r="BT23" t="n">
        <v>24</v>
      </c>
      <c r="BU23" t="n">
        <v>31.17</v>
      </c>
      <c r="BV23" t="n">
        <v>24</v>
      </c>
      <c r="BW23" t="n">
        <v>12</v>
      </c>
      <c r="BX23" t="n">
        <v>50</v>
      </c>
      <c r="BY23" t="n">
        <v>13.46</v>
      </c>
    </row>
    <row r="24">
      <c r="A24" t="inlineStr">
        <is>
          <t>2026-03-29</t>
        </is>
      </c>
      <c r="B24" t="inlineStr">
        <is>
          <t>Perth - Subiaco 2:0</t>
        </is>
      </c>
      <c r="C24" t="inlineStr">
        <is>
          <t>Australia. Western Australia NPL Women</t>
        </is>
      </c>
      <c r="D24" t="n">
        <v>96</v>
      </c>
      <c r="E24" t="inlineStr">
        <is>
          <t>Perth</t>
        </is>
      </c>
      <c r="F24" t="inlineStr">
        <is>
          <t>4-2-3-1 (100.0%)</t>
        </is>
      </c>
      <c r="G24" t="n">
        <v>2</v>
      </c>
      <c r="H24" t="n">
        <v>1.74</v>
      </c>
      <c r="I24" t="n">
        <v>18</v>
      </c>
      <c r="J24" t="n">
        <v>8</v>
      </c>
      <c r="K24" t="n">
        <v>44.44</v>
      </c>
      <c r="L24" t="n">
        <v>50.98</v>
      </c>
      <c r="M24" t="n">
        <v>167</v>
      </c>
      <c r="N24" t="n">
        <v>38</v>
      </c>
      <c r="O24" t="n">
        <v>51</v>
      </c>
      <c r="P24" t="n">
        <v>78</v>
      </c>
      <c r="Q24" t="n">
        <v>106</v>
      </c>
      <c r="R24" t="n">
        <v>51</v>
      </c>
      <c r="S24" t="n">
        <v>44</v>
      </c>
      <c r="T24" t="n">
        <v>11</v>
      </c>
      <c r="U24" t="n">
        <v>170</v>
      </c>
      <c r="V24" t="n">
        <v>81</v>
      </c>
      <c r="W24" t="n">
        <v>47.65</v>
      </c>
      <c r="X24" t="n">
        <v>9</v>
      </c>
      <c r="Y24" t="n">
        <v>4</v>
      </c>
      <c r="Z24" t="n">
        <v>44.44</v>
      </c>
      <c r="AA24" t="n">
        <v>41</v>
      </c>
      <c r="AB24" t="n">
        <v>15</v>
      </c>
      <c r="AC24" t="n">
        <v>36.59</v>
      </c>
      <c r="AD24" t="n">
        <v>19</v>
      </c>
      <c r="AE24" t="n">
        <v>2</v>
      </c>
      <c r="AF24" t="n">
        <v>10.53</v>
      </c>
      <c r="AG24" t="n">
        <v>1</v>
      </c>
      <c r="AH24" t="n">
        <v>0</v>
      </c>
      <c r="AI24" t="n">
        <v>0</v>
      </c>
      <c r="AJ24" t="n">
        <v>11</v>
      </c>
      <c r="AK24" t="n">
        <v>1</v>
      </c>
      <c r="AL24" t="n">
        <v>9.09</v>
      </c>
      <c r="AM24" t="n">
        <v>8</v>
      </c>
      <c r="AN24" t="n">
        <v>12</v>
      </c>
      <c r="AO24" t="n">
        <v>67</v>
      </c>
      <c r="AP24" t="n">
        <v>16</v>
      </c>
      <c r="AQ24" t="n">
        <v>23.88</v>
      </c>
      <c r="AR24" t="n">
        <v>0</v>
      </c>
      <c r="AS24" t="n">
        <v>15</v>
      </c>
      <c r="AT24" t="n">
        <v>3</v>
      </c>
      <c r="AU24" t="n">
        <v>20</v>
      </c>
      <c r="AV24" t="n">
        <v>75</v>
      </c>
      <c r="AW24" t="n">
        <v>55</v>
      </c>
      <c r="AX24" t="n">
        <v>73.33</v>
      </c>
      <c r="AY24" t="n">
        <v>10</v>
      </c>
      <c r="AZ24" t="n">
        <v>4</v>
      </c>
      <c r="BA24" t="n">
        <v>40</v>
      </c>
      <c r="BB24" t="n">
        <v>1</v>
      </c>
      <c r="BC24" t="n">
        <v>1</v>
      </c>
      <c r="BD24" t="n">
        <v>100</v>
      </c>
      <c r="BE24" t="n">
        <v>69</v>
      </c>
      <c r="BF24" t="n">
        <v>10</v>
      </c>
      <c r="BG24" t="n">
        <v>5</v>
      </c>
      <c r="BH24" t="n">
        <v>0</v>
      </c>
      <c r="BI24" t="n">
        <v>0</v>
      </c>
      <c r="BJ24" t="n">
        <v>184</v>
      </c>
      <c r="BK24" t="n">
        <v>111</v>
      </c>
      <c r="BL24" t="n">
        <v>60.33</v>
      </c>
      <c r="BM24" t="n">
        <v>44</v>
      </c>
      <c r="BN24" t="n">
        <v>22</v>
      </c>
      <c r="BO24" t="n">
        <v>50</v>
      </c>
      <c r="BP24" t="n">
        <v>78</v>
      </c>
      <c r="BQ24" t="n">
        <v>37</v>
      </c>
      <c r="BR24" t="n">
        <v>47.44</v>
      </c>
      <c r="BS24" t="n">
        <v>110</v>
      </c>
      <c r="BT24" t="n">
        <v>65</v>
      </c>
      <c r="BU24" t="n">
        <v>59.09</v>
      </c>
      <c r="BV24" t="n">
        <v>39</v>
      </c>
      <c r="BW24" t="n">
        <v>30</v>
      </c>
      <c r="BX24" t="n">
        <v>76.92</v>
      </c>
      <c r="BY24" t="n">
        <v>5.18</v>
      </c>
    </row>
    <row r="25">
      <c r="E25" t="inlineStr">
        <is>
          <t>Subiaco</t>
        </is>
      </c>
      <c r="F25" t="inlineStr">
        <is>
          <t>4-4-2 (49.52%)</t>
        </is>
      </c>
      <c r="G25" t="n">
        <v>0</v>
      </c>
      <c r="H25" t="n">
        <v>1.31</v>
      </c>
      <c r="I25" t="n">
        <v>15</v>
      </c>
      <c r="J25" t="n">
        <v>3</v>
      </c>
      <c r="K25" t="n">
        <v>20</v>
      </c>
      <c r="L25" t="n">
        <v>49.02</v>
      </c>
      <c r="M25" t="n">
        <v>154</v>
      </c>
      <c r="N25" t="n">
        <v>21</v>
      </c>
      <c r="O25" t="n">
        <v>68</v>
      </c>
      <c r="P25" t="n">
        <v>65</v>
      </c>
      <c r="Q25" t="n">
        <v>94</v>
      </c>
      <c r="R25" t="n">
        <v>46</v>
      </c>
      <c r="S25" t="n">
        <v>26</v>
      </c>
      <c r="T25" t="n">
        <v>22</v>
      </c>
      <c r="U25" t="n">
        <v>170</v>
      </c>
      <c r="V25" t="n">
        <v>88</v>
      </c>
      <c r="W25" t="n">
        <v>51.76</v>
      </c>
      <c r="X25" t="n">
        <v>8</v>
      </c>
      <c r="Y25" t="n">
        <v>2</v>
      </c>
      <c r="Z25" t="n">
        <v>25</v>
      </c>
      <c r="AA25" t="n">
        <v>33</v>
      </c>
      <c r="AB25" t="n">
        <v>8</v>
      </c>
      <c r="AC25" t="n">
        <v>24.24</v>
      </c>
      <c r="AD25" t="n">
        <v>33</v>
      </c>
      <c r="AE25" t="n">
        <v>7</v>
      </c>
      <c r="AF25" t="n">
        <v>21.21</v>
      </c>
      <c r="AG25" t="n">
        <v>7</v>
      </c>
      <c r="AH25" t="n">
        <v>4</v>
      </c>
      <c r="AI25" t="n">
        <v>57.14</v>
      </c>
      <c r="AJ25" t="n">
        <v>15</v>
      </c>
      <c r="AK25" t="n">
        <v>5</v>
      </c>
      <c r="AL25" t="n">
        <v>33.33</v>
      </c>
      <c r="AM25" t="n">
        <v>5</v>
      </c>
      <c r="AN25" t="n">
        <v>16</v>
      </c>
      <c r="AO25" t="n">
        <v>75</v>
      </c>
      <c r="AP25" t="n">
        <v>20</v>
      </c>
      <c r="AQ25" t="n">
        <v>26.67</v>
      </c>
      <c r="AR25" t="n">
        <v>2</v>
      </c>
      <c r="AS25" t="n">
        <v>18</v>
      </c>
      <c r="AT25" t="n">
        <v>8</v>
      </c>
      <c r="AU25" t="n">
        <v>44.44</v>
      </c>
      <c r="AV25" t="n">
        <v>67</v>
      </c>
      <c r="AW25" t="n">
        <v>51</v>
      </c>
      <c r="AX25" t="n">
        <v>76.12</v>
      </c>
      <c r="AY25" t="n">
        <v>10</v>
      </c>
      <c r="AZ25" t="n">
        <v>6</v>
      </c>
      <c r="BA25" t="n">
        <v>60</v>
      </c>
      <c r="BB25" t="n">
        <v>5</v>
      </c>
      <c r="BC25" t="n">
        <v>3</v>
      </c>
      <c r="BD25" t="n">
        <v>60</v>
      </c>
      <c r="BE25" t="n">
        <v>50</v>
      </c>
      <c r="BF25" t="n">
        <v>18</v>
      </c>
      <c r="BG25" t="n">
        <v>4</v>
      </c>
      <c r="BH25" t="n">
        <v>1</v>
      </c>
      <c r="BI25" t="n">
        <v>0</v>
      </c>
      <c r="BJ25" t="n">
        <v>170</v>
      </c>
      <c r="BK25" t="n">
        <v>102</v>
      </c>
      <c r="BL25" t="n">
        <v>60</v>
      </c>
      <c r="BM25" t="n">
        <v>54</v>
      </c>
      <c r="BN25" t="n">
        <v>32</v>
      </c>
      <c r="BO25" t="n">
        <v>59.26</v>
      </c>
      <c r="BP25" t="n">
        <v>57</v>
      </c>
      <c r="BQ25" t="n">
        <v>30</v>
      </c>
      <c r="BR25" t="n">
        <v>52.63</v>
      </c>
      <c r="BS25" t="n">
        <v>89</v>
      </c>
      <c r="BT25" t="n">
        <v>46</v>
      </c>
      <c r="BU25" t="n">
        <v>51.69</v>
      </c>
      <c r="BV25" t="n">
        <v>33</v>
      </c>
      <c r="BW25" t="n">
        <v>28</v>
      </c>
      <c r="BX25" t="n">
        <v>84.84999999999999</v>
      </c>
      <c r="BY25" t="n">
        <v>10.47</v>
      </c>
    </row>
    <row r="26">
      <c r="A26" t="inlineStr">
        <is>
          <t>2026-03-20</t>
        </is>
      </c>
      <c r="B26" t="inlineStr">
        <is>
          <t>Perth - UWA Nedlands 6:0</t>
        </is>
      </c>
      <c r="C26" t="inlineStr">
        <is>
          <t>Australia. Western Australia NPL Women</t>
        </is>
      </c>
      <c r="D26" t="n">
        <v>95</v>
      </c>
      <c r="E26" t="inlineStr">
        <is>
          <t>Perth</t>
        </is>
      </c>
      <c r="F26" t="inlineStr">
        <is>
          <t>4-3-3 (100.0%)</t>
        </is>
      </c>
      <c r="G26" t="n">
        <v>6</v>
      </c>
      <c r="H26" t="n">
        <v>1.77</v>
      </c>
      <c r="I26" t="n">
        <v>20</v>
      </c>
      <c r="J26" t="n">
        <v>11</v>
      </c>
      <c r="K26" t="n">
        <v>55</v>
      </c>
      <c r="L26" t="n">
        <v>62.41</v>
      </c>
      <c r="M26" t="n">
        <v>132</v>
      </c>
      <c r="N26" t="n">
        <v>4</v>
      </c>
      <c r="O26" t="n">
        <v>27</v>
      </c>
      <c r="P26" t="n">
        <v>101</v>
      </c>
      <c r="Q26" t="n">
        <v>95</v>
      </c>
      <c r="R26" t="n">
        <v>19</v>
      </c>
      <c r="S26" t="n">
        <v>44</v>
      </c>
      <c r="T26" t="n">
        <v>32</v>
      </c>
      <c r="U26" t="n">
        <v>155</v>
      </c>
      <c r="V26" t="n">
        <v>78</v>
      </c>
      <c r="W26" t="n">
        <v>50.32</v>
      </c>
      <c r="X26" t="n">
        <v>13</v>
      </c>
      <c r="Y26" t="n">
        <v>6</v>
      </c>
      <c r="Z26" t="n">
        <v>46.15</v>
      </c>
      <c r="AA26" t="n">
        <v>67</v>
      </c>
      <c r="AB26" t="n">
        <v>17</v>
      </c>
      <c r="AC26" t="n">
        <v>25.37</v>
      </c>
      <c r="AD26" t="n">
        <v>13</v>
      </c>
      <c r="AE26" t="n">
        <v>3</v>
      </c>
      <c r="AF26" t="n">
        <v>23.08</v>
      </c>
      <c r="AG26" t="n">
        <v>7</v>
      </c>
      <c r="AH26" t="n">
        <v>2</v>
      </c>
      <c r="AI26" t="n">
        <v>28.57</v>
      </c>
      <c r="AJ26" t="n">
        <v>29</v>
      </c>
      <c r="AK26" t="n">
        <v>8</v>
      </c>
      <c r="AL26" t="n">
        <v>27.59</v>
      </c>
      <c r="AM26" t="n">
        <v>5</v>
      </c>
      <c r="AN26" t="n">
        <v>22</v>
      </c>
      <c r="AO26" t="n">
        <v>70</v>
      </c>
      <c r="AP26" t="n">
        <v>27</v>
      </c>
      <c r="AQ26" t="n">
        <v>38.57</v>
      </c>
      <c r="AR26" t="n">
        <v>0</v>
      </c>
      <c r="AS26" t="n">
        <v>4</v>
      </c>
      <c r="AT26" t="n">
        <v>2</v>
      </c>
      <c r="AU26" t="n">
        <v>50</v>
      </c>
      <c r="AV26" t="n">
        <v>54</v>
      </c>
      <c r="AW26" t="n">
        <v>38</v>
      </c>
      <c r="AX26" t="n">
        <v>70.37</v>
      </c>
      <c r="AY26" t="n">
        <v>11</v>
      </c>
      <c r="AZ26" t="n">
        <v>6</v>
      </c>
      <c r="BA26" t="n">
        <v>54.55</v>
      </c>
      <c r="BB26" t="n">
        <v>1</v>
      </c>
      <c r="BC26" t="n">
        <v>1</v>
      </c>
      <c r="BD26" t="n">
        <v>100</v>
      </c>
      <c r="BE26" t="n">
        <v>26</v>
      </c>
      <c r="BF26" t="n">
        <v>4</v>
      </c>
      <c r="BG26" t="n">
        <v>6</v>
      </c>
      <c r="BH26" t="n">
        <v>1</v>
      </c>
      <c r="BI26" t="n">
        <v>0</v>
      </c>
      <c r="BJ26" t="n">
        <v>180</v>
      </c>
      <c r="BK26" t="n">
        <v>136</v>
      </c>
      <c r="BL26" t="n">
        <v>75.56</v>
      </c>
      <c r="BM26" t="n">
        <v>46</v>
      </c>
      <c r="BN26" t="n">
        <v>19</v>
      </c>
      <c r="BO26" t="n">
        <v>41.3</v>
      </c>
      <c r="BP26" t="n">
        <v>78</v>
      </c>
      <c r="BQ26" t="n">
        <v>52</v>
      </c>
      <c r="BR26" t="n">
        <v>66.67</v>
      </c>
      <c r="BS26" t="n">
        <v>75</v>
      </c>
      <c r="BT26" t="n">
        <v>67</v>
      </c>
      <c r="BU26" t="n">
        <v>89.33</v>
      </c>
      <c r="BV26" t="n">
        <v>32</v>
      </c>
      <c r="BW26" t="n">
        <v>29</v>
      </c>
      <c r="BX26" t="n">
        <v>90.63</v>
      </c>
      <c r="BY26" t="n">
        <v>8.74</v>
      </c>
    </row>
    <row r="27">
      <c r="E27" t="inlineStr">
        <is>
          <t>UWA Nedlands</t>
        </is>
      </c>
      <c r="F27" t="inlineStr">
        <is>
          <t>3-5-2 (100.0%)</t>
        </is>
      </c>
      <c r="G27" t="n">
        <v>0</v>
      </c>
      <c r="H27" t="n">
        <v>0.1</v>
      </c>
      <c r="I27" t="n">
        <v>4</v>
      </c>
      <c r="J27" t="n">
        <v>2</v>
      </c>
      <c r="K27" t="n">
        <v>50</v>
      </c>
      <c r="L27" t="n">
        <v>37.59</v>
      </c>
      <c r="M27" t="n">
        <v>126</v>
      </c>
      <c r="N27" t="n">
        <v>43</v>
      </c>
      <c r="O27" t="n">
        <v>62</v>
      </c>
      <c r="P27" t="n">
        <v>21</v>
      </c>
      <c r="Q27" t="n">
        <v>80</v>
      </c>
      <c r="R27" t="n">
        <v>48</v>
      </c>
      <c r="S27" t="n">
        <v>31</v>
      </c>
      <c r="T27" t="n">
        <v>1</v>
      </c>
      <c r="U27" t="n">
        <v>155</v>
      </c>
      <c r="V27" t="n">
        <v>74</v>
      </c>
      <c r="W27" t="n">
        <v>47.74</v>
      </c>
      <c r="X27" t="n">
        <v>4</v>
      </c>
      <c r="Y27" t="n">
        <v>2</v>
      </c>
      <c r="Z27" t="n">
        <v>50</v>
      </c>
      <c r="AA27" t="n">
        <v>6</v>
      </c>
      <c r="AB27" t="n">
        <v>2</v>
      </c>
      <c r="AC27" t="n">
        <v>33.33</v>
      </c>
      <c r="AD27" t="n">
        <v>23</v>
      </c>
      <c r="AE27" t="n">
        <v>1</v>
      </c>
      <c r="AF27" t="n">
        <v>4.35</v>
      </c>
      <c r="AG27" t="n">
        <v>0</v>
      </c>
      <c r="AH27" t="n">
        <v>0</v>
      </c>
      <c r="AI27" t="n">
        <v>0</v>
      </c>
      <c r="AJ27" t="n">
        <v>2</v>
      </c>
      <c r="AK27" t="n">
        <v>0</v>
      </c>
      <c r="AL27" t="n">
        <v>0</v>
      </c>
      <c r="AM27" t="n">
        <v>2</v>
      </c>
      <c r="AN27" t="n">
        <v>4</v>
      </c>
      <c r="AO27" t="n">
        <v>54</v>
      </c>
      <c r="AP27" t="n">
        <v>16</v>
      </c>
      <c r="AQ27" t="n">
        <v>29.63</v>
      </c>
      <c r="AR27" t="n">
        <v>6</v>
      </c>
      <c r="AS27" t="n">
        <v>20</v>
      </c>
      <c r="AT27" t="n">
        <v>13</v>
      </c>
      <c r="AU27" t="n">
        <v>65</v>
      </c>
      <c r="AV27" t="n">
        <v>70</v>
      </c>
      <c r="AW27" t="n">
        <v>43</v>
      </c>
      <c r="AX27" t="n">
        <v>61.43</v>
      </c>
      <c r="AY27" t="n">
        <v>11</v>
      </c>
      <c r="AZ27" t="n">
        <v>4</v>
      </c>
      <c r="BA27" t="n">
        <v>36.36</v>
      </c>
      <c r="BB27" t="n">
        <v>1</v>
      </c>
      <c r="BC27" t="n">
        <v>1</v>
      </c>
      <c r="BD27" t="n">
        <v>100</v>
      </c>
      <c r="BE27" t="n">
        <v>52</v>
      </c>
      <c r="BF27" t="n">
        <v>22</v>
      </c>
      <c r="BG27" t="n">
        <v>3</v>
      </c>
      <c r="BH27" t="n">
        <v>0</v>
      </c>
      <c r="BI27" t="n">
        <v>0</v>
      </c>
      <c r="BJ27" t="n">
        <v>132</v>
      </c>
      <c r="BK27" t="n">
        <v>73</v>
      </c>
      <c r="BL27" t="n">
        <v>55.3</v>
      </c>
      <c r="BM27" t="n">
        <v>56</v>
      </c>
      <c r="BN27" t="n">
        <v>27</v>
      </c>
      <c r="BO27" t="n">
        <v>48.21</v>
      </c>
      <c r="BP27" t="n">
        <v>25</v>
      </c>
      <c r="BQ27" t="n">
        <v>13</v>
      </c>
      <c r="BR27" t="n">
        <v>52</v>
      </c>
      <c r="BS27" t="n">
        <v>70</v>
      </c>
      <c r="BT27" t="n">
        <v>20</v>
      </c>
      <c r="BU27" t="n">
        <v>28.57</v>
      </c>
      <c r="BV27" t="n">
        <v>14</v>
      </c>
      <c r="BW27" t="n">
        <v>11</v>
      </c>
      <c r="BX27" t="n">
        <v>78.56999999999999</v>
      </c>
      <c r="BY27" t="n">
        <v>22.31</v>
      </c>
    </row>
    <row r="28">
      <c r="A28" s="22" t="n"/>
    </row>
    <row r="29"/>
  </sheetData>
  <mergeCells count="89">
    <mergeCell ref="B12:B13"/>
    <mergeCell ref="BZ1:CC1"/>
    <mergeCell ref="CH1:CJ1"/>
    <mergeCell ref="A16:A17"/>
    <mergeCell ref="DF1:DH1"/>
    <mergeCell ref="C10:C11"/>
    <mergeCell ref="C16:C17"/>
    <mergeCell ref="B14:B15"/>
    <mergeCell ref="D16:D17"/>
    <mergeCell ref="B28:B29"/>
    <mergeCell ref="B6:B7"/>
    <mergeCell ref="A22:A23"/>
    <mergeCell ref="D18:D19"/>
    <mergeCell ref="U1:W1"/>
    <mergeCell ref="D8:D9"/>
    <mergeCell ref="A20:A21"/>
    <mergeCell ref="AA1:AC1"/>
    <mergeCell ref="D10:D11"/>
    <mergeCell ref="EC1:EE1"/>
    <mergeCell ref="C6:C7"/>
    <mergeCell ref="B26:B27"/>
    <mergeCell ref="C14:C15"/>
    <mergeCell ref="AD1:AF1"/>
    <mergeCell ref="C4:C5"/>
    <mergeCell ref="BP1:BR1"/>
    <mergeCell ref="A26:A27"/>
    <mergeCell ref="I1:K1"/>
    <mergeCell ref="D12:D13"/>
    <mergeCell ref="A8:A9"/>
    <mergeCell ref="CD1:CG1"/>
    <mergeCell ref="C8:C9"/>
    <mergeCell ref="A10:A11"/>
    <mergeCell ref="AG1:AI1"/>
    <mergeCell ref="D26:D27"/>
    <mergeCell ref="CK1:CM1"/>
    <mergeCell ref="AS1:AU1"/>
    <mergeCell ref="Q1:T1"/>
    <mergeCell ref="B16:B17"/>
    <mergeCell ref="CW1:CY1"/>
    <mergeCell ref="C18:C19"/>
    <mergeCell ref="B18:B19"/>
    <mergeCell ref="C20:C21"/>
    <mergeCell ref="BS1:BU1"/>
    <mergeCell ref="B8:B9"/>
    <mergeCell ref="DW1:DY1"/>
    <mergeCell ref="A6:A7"/>
    <mergeCell ref="C22:C23"/>
    <mergeCell ref="BB1:BD1"/>
    <mergeCell ref="A12:A13"/>
    <mergeCell ref="C12:C13"/>
    <mergeCell ref="D28:D29"/>
    <mergeCell ref="A14:A15"/>
    <mergeCell ref="X1:Z1"/>
    <mergeCell ref="AJ1:AL1"/>
    <mergeCell ref="M1:P1"/>
    <mergeCell ref="A4:A5"/>
    <mergeCell ref="CN1:CP1"/>
    <mergeCell ref="B20:B21"/>
    <mergeCell ref="D20:D21"/>
    <mergeCell ref="DB1:DD1"/>
    <mergeCell ref="D14:D15"/>
    <mergeCell ref="BJ1:BL1"/>
    <mergeCell ref="B4:B5"/>
    <mergeCell ref="CT1:CV1"/>
    <mergeCell ref="B22:B23"/>
    <mergeCell ref="BV1:BX1"/>
    <mergeCell ref="DZ1:EB1"/>
    <mergeCell ref="D6:D7"/>
    <mergeCell ref="BM1:BO1"/>
    <mergeCell ref="A24:A25"/>
    <mergeCell ref="DI1:DK1"/>
    <mergeCell ref="C26:C27"/>
    <mergeCell ref="AY1:BA1"/>
    <mergeCell ref="AO1:AQ1"/>
    <mergeCell ref="D4:D5"/>
    <mergeCell ref="EI1:EK1"/>
    <mergeCell ref="CQ1:CS1"/>
    <mergeCell ref="B10:B11"/>
    <mergeCell ref="A18:A19"/>
    <mergeCell ref="B24:B25"/>
    <mergeCell ref="D24:D25"/>
    <mergeCell ref="DO1:DQ1"/>
    <mergeCell ref="AV1:AX1"/>
    <mergeCell ref="A28:A29"/>
    <mergeCell ref="C28:C29"/>
    <mergeCell ref="DL1:DN1"/>
    <mergeCell ref="C24:C25"/>
    <mergeCell ref="EF1:EH1"/>
    <mergeCell ref="D22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21"/>
  <sheetViews>
    <sheetView tabSelected="1" workbookViewId="0">
      <pane xSplit="2" ySplit="2" topLeftCell="G11" activePane="bottomRight" state="frozen"/>
      <selection pane="topRight" activeCell="A1" sqref="A1"/>
      <selection pane="bottomLeft" activeCell="A1" sqref="A1"/>
      <selection pane="bottomRight" activeCell="BI17" sqref="BI17"/>
    </sheetView>
  </sheetViews>
  <sheetFormatPr baseColWidth="10" defaultColWidth="8.83203125" defaultRowHeight="14"/>
  <cols>
    <col width="5" customWidth="1" style="21" min="1" max="1"/>
    <col width="18" customWidth="1" style="21" min="2" max="2"/>
    <col width="13" customWidth="1" style="21" min="3" max="3"/>
    <col width="9" customWidth="1" style="21" min="4" max="4"/>
    <col width="10" customWidth="1" style="21" min="5" max="5"/>
    <col width="9" customWidth="1" style="21" min="6" max="6"/>
    <col width="8" customWidth="1" style="21" min="7" max="8"/>
    <col width="9" customWidth="1" style="21" min="9" max="9"/>
    <col width="8" customWidth="1" style="21" min="10" max="10"/>
    <col width="10" customWidth="1" style="21" min="11" max="11"/>
    <col width="9" customWidth="1" style="21" min="12" max="12"/>
    <col width="12" customWidth="1" style="21" min="13" max="13"/>
    <col width="9" customWidth="1" style="21" min="14" max="14"/>
    <col width="12" customWidth="1" style="21" min="15" max="15"/>
    <col width="10" customWidth="1" style="21" min="16" max="16"/>
    <col width="12" customWidth="1" style="21" min="17" max="17"/>
    <col width="10" customWidth="1" style="21" min="18" max="19"/>
    <col width="9" customWidth="1" style="21" min="20" max="20"/>
    <col width="13" customWidth="1" style="21" min="21" max="21"/>
    <col width="15" customWidth="1" style="21" min="22" max="22"/>
    <col width="12" customWidth="1" style="21" min="23" max="23"/>
    <col width="19" customWidth="1" style="21" min="24" max="24"/>
    <col width="11" customWidth="1" style="21" min="25" max="25"/>
    <col width="13" customWidth="1" style="21" min="26" max="26"/>
    <col width="11" customWidth="1" style="21" min="27" max="27"/>
    <col width="7" customWidth="1" style="21" min="28" max="28"/>
    <col width="12" customWidth="1" style="21" min="29" max="29"/>
    <col width="8" customWidth="1" style="21" min="30" max="30"/>
    <col width="12" customWidth="1" style="21" min="31" max="31"/>
    <col width="8" customWidth="1" style="21" min="32" max="32"/>
    <col width="13" customWidth="1" style="21" min="33" max="33"/>
    <col width="9" customWidth="1" style="21" min="34" max="34"/>
    <col width="12" customWidth="1" style="21" min="35" max="35"/>
    <col width="9" customWidth="1" style="21" min="36" max="36"/>
    <col width="8" customWidth="1" style="21" min="37" max="37"/>
    <col width="16" customWidth="1" style="21" min="38" max="38"/>
    <col width="10" customWidth="1" style="21" min="39" max="39"/>
    <col width="16" customWidth="1" style="21" min="40" max="40"/>
    <col width="14" customWidth="1" style="21" min="41" max="41"/>
    <col width="11" customWidth="1" style="21" min="42" max="42"/>
    <col width="18" customWidth="1" style="21" min="43" max="43"/>
    <col width="10" customWidth="1" style="21" min="44" max="44"/>
    <col width="11" customWidth="1" style="21" min="45" max="45"/>
    <col width="8" customWidth="1" style="21" min="46" max="46"/>
    <col width="12" customWidth="1" style="21" min="47" max="47"/>
    <col width="8" customWidth="1" style="21" min="48" max="48"/>
    <col width="14" customWidth="1" style="21" min="49" max="49"/>
    <col width="10" customWidth="1" style="21" min="50" max="50"/>
    <col width="16" customWidth="1" style="21" min="51" max="51"/>
    <col width="11" customWidth="1" style="21" min="52" max="52"/>
    <col width="12" customWidth="1" style="21" min="53" max="53"/>
    <col width="8" customWidth="1" style="21" min="54" max="54"/>
    <col width="13" customWidth="1" style="21" min="55" max="56"/>
    <col width="12" customWidth="1" style="21" min="57" max="57"/>
    <col width="13" customWidth="1" style="21" min="58" max="58"/>
    <col width="14" customWidth="1" style="21" min="59" max="59"/>
    <col width="10" customWidth="1" style="21" min="60" max="60"/>
    <col width="17" customWidth="1" style="21" min="61" max="61"/>
    <col width="11" customWidth="1" style="21" min="62" max="62"/>
    <col width="16" customWidth="1" style="21" min="63" max="63"/>
    <col width="12" customWidth="1" style="21" min="64" max="64"/>
    <col width="13" customWidth="1" style="21" min="65" max="65"/>
    <col width="14" customWidth="1" style="21" min="66" max="66"/>
  </cols>
  <sheetData>
    <row r="1" ht="22" customHeight="1" s="21">
      <c r="A1" s="26" t="inlineStr">
        <is>
          <t>ID</t>
        </is>
      </c>
      <c r="B1" s="26" t="inlineStr">
        <is>
          <t>PLAYER INFO</t>
        </is>
      </c>
      <c r="D1" s="30" t="inlineStr">
        <is>
          <t>SEASON SUMMARY</t>
        </is>
      </c>
      <c r="K1" s="31" t="inlineStr">
        <is>
          <t>KEY RATES</t>
        </is>
      </c>
      <c r="U1" s="27" t="inlineStr">
        <is>
          <t>DEFENSIVE</t>
        </is>
      </c>
      <c r="AB1" s="3" t="inlineStr">
        <is>
          <t>PIN</t>
        </is>
      </c>
      <c r="AC1" s="28" t="inlineStr">
        <is>
          <t>DUEL DETAILS</t>
        </is>
      </c>
      <c r="AS1" s="31" t="inlineStr">
        <is>
          <t>PASSING DETAILS</t>
        </is>
      </c>
      <c r="BM1" s="29" t="inlineStr">
        <is>
          <t>GOALKEEPER</t>
        </is>
      </c>
    </row>
    <row r="2" ht="30" customHeight="1" s="21">
      <c r="A2" s="4" t="inlineStr">
        <is>
          <t>Num</t>
        </is>
      </c>
      <c r="B2" s="4" t="inlineStr">
        <is>
          <t>Name</t>
        </is>
      </c>
      <c r="C2" s="4" t="inlineStr">
        <is>
          <t>Position</t>
        </is>
      </c>
      <c r="D2" s="4" t="inlineStr">
        <is>
          <t>Matches</t>
        </is>
      </c>
      <c r="E2" s="4" t="inlineStr">
        <is>
          <t>Total Min</t>
        </is>
      </c>
      <c r="F2" s="4" t="inlineStr">
        <is>
          <t>Avg Min</t>
        </is>
      </c>
      <c r="G2" s="4" t="inlineStr">
        <is>
          <t>Goals</t>
        </is>
      </c>
      <c r="H2" s="4" t="inlineStr">
        <is>
          <t>xG</t>
        </is>
      </c>
      <c r="I2" s="4" t="inlineStr">
        <is>
          <t>Assists</t>
        </is>
      </c>
      <c r="J2" s="4" t="inlineStr">
        <is>
          <t>xA</t>
        </is>
      </c>
      <c r="K2" s="4" t="inlineStr">
        <is>
          <t>Shots/ ON Target</t>
        </is>
      </c>
      <c r="L2" s="4" t="inlineStr">
        <is>
          <t>Shots %</t>
        </is>
      </c>
      <c r="M2" s="4" t="inlineStr">
        <is>
          <t>Passes/ Accurate</t>
        </is>
      </c>
      <c r="N2" s="4" t="inlineStr">
        <is>
          <t>Passes %</t>
        </is>
      </c>
      <c r="O2" s="4" t="inlineStr">
        <is>
          <t>Crosses/ Accurate</t>
        </is>
      </c>
      <c r="P2" s="4" t="inlineStr">
        <is>
          <t>Crosses %</t>
        </is>
      </c>
      <c r="Q2" s="4" t="inlineStr">
        <is>
          <t>Dribbles</t>
        </is>
      </c>
      <c r="R2" s="4" t="inlineStr">
        <is>
          <t>Dribbles %</t>
        </is>
      </c>
      <c r="S2" s="4" t="inlineStr">
        <is>
          <t>Duels</t>
        </is>
      </c>
      <c r="T2" s="4" t="inlineStr">
        <is>
          <t>Duels %</t>
        </is>
      </c>
      <c r="U2" s="4" t="inlineStr">
        <is>
          <t>Losses Total</t>
        </is>
      </c>
      <c r="V2" s="4" t="inlineStr">
        <is>
          <t>Losses Own Half</t>
        </is>
      </c>
      <c r="W2" s="4" t="inlineStr">
        <is>
          <t>Recoveries</t>
        </is>
      </c>
      <c r="X2" s="4" t="inlineStr">
        <is>
          <t>Recoveries Opp Half</t>
        </is>
      </c>
      <c r="Y2" s="4" t="inlineStr">
        <is>
          <t>Touches PA</t>
        </is>
      </c>
      <c r="Z2" s="4" t="inlineStr">
        <is>
          <t>Yellow Cards</t>
        </is>
      </c>
      <c r="AA2" s="4" t="inlineStr">
        <is>
          <t>Red Cards</t>
        </is>
      </c>
      <c r="AB2" s="4" t="inlineStr">
        <is>
          <t>PIN</t>
        </is>
      </c>
      <c r="AC2" s="5" t="inlineStr">
        <is>
          <t>Def Duels</t>
        </is>
      </c>
      <c r="AD2" s="5" t="inlineStr">
        <is>
          <t>Def %</t>
        </is>
      </c>
      <c r="AE2" s="5" t="inlineStr">
        <is>
          <t>Off Duels</t>
        </is>
      </c>
      <c r="AF2" s="5" t="inlineStr">
        <is>
          <t>Off %</t>
        </is>
      </c>
      <c r="AG2" s="5" t="inlineStr">
        <is>
          <t>Aerial Duels</t>
        </is>
      </c>
      <c r="AH2" s="5" t="inlineStr">
        <is>
          <t>Aerial %</t>
        </is>
      </c>
      <c r="AI2" s="5" t="inlineStr">
        <is>
          <t>Loose Ball</t>
        </is>
      </c>
      <c r="AJ2" s="5" t="inlineStr">
        <is>
          <t>Loose %</t>
        </is>
      </c>
      <c r="AK2" s="5" t="inlineStr">
        <is>
          <t>Blocks</t>
        </is>
      </c>
      <c r="AL2" s="5" t="inlineStr">
        <is>
          <t>Intercept/Clear</t>
        </is>
      </c>
      <c r="AM2" s="5" t="inlineStr">
        <is>
          <t>Tackles</t>
        </is>
      </c>
      <c r="AN2" s="5" t="inlineStr">
        <is>
          <t>Fouls Suffered</t>
        </is>
      </c>
      <c r="AO2" s="5" t="inlineStr">
        <is>
          <t>Freekicks Won</t>
        </is>
      </c>
      <c r="AP2" s="5" t="inlineStr">
        <is>
          <t>Set Pieces</t>
        </is>
      </c>
      <c r="AQ2" s="5" t="inlineStr">
        <is>
          <t>Direct FK/Corners</t>
        </is>
      </c>
      <c r="AR2" s="5" t="inlineStr">
        <is>
          <t>Throw-ins</t>
        </is>
      </c>
      <c r="AS2" s="6" t="inlineStr">
        <is>
          <t>Fwd Passes</t>
        </is>
      </c>
      <c r="AT2" s="6" t="inlineStr">
        <is>
          <t>Fwd %</t>
        </is>
      </c>
      <c r="AU2" s="6" t="inlineStr">
        <is>
          <t>Back Passes</t>
        </is>
      </c>
      <c r="AV2" s="6" t="inlineStr">
        <is>
          <t>Back %</t>
        </is>
      </c>
      <c r="AW2" s="6" t="inlineStr">
        <is>
          <t>Lateral Passes</t>
        </is>
      </c>
      <c r="AX2" s="6" t="inlineStr">
        <is>
          <t>Lateral %</t>
        </is>
      </c>
      <c r="AY2" s="6" t="inlineStr">
        <is>
          <t>Short/Med Passes</t>
        </is>
      </c>
      <c r="AZ2" s="6" t="inlineStr">
        <is>
          <t>Short/Med %</t>
        </is>
      </c>
      <c r="BA2" s="6" t="inlineStr">
        <is>
          <t>Long Passes</t>
        </is>
      </c>
      <c r="BB2" s="6" t="inlineStr">
        <is>
          <t>Long %</t>
        </is>
      </c>
      <c r="BC2" s="6" t="inlineStr">
        <is>
          <t>Progressive</t>
        </is>
      </c>
      <c r="BD2" s="6" t="inlineStr">
        <is>
          <t>Progressive %</t>
        </is>
      </c>
      <c r="BE2" s="6" t="inlineStr">
        <is>
          <t>Final Third</t>
        </is>
      </c>
      <c r="BF2" s="6" t="inlineStr">
        <is>
          <t>Final Third %</t>
        </is>
      </c>
      <c r="BG2" s="6" t="inlineStr">
        <is>
          <t>Through Balls</t>
        </is>
      </c>
      <c r="BH2" s="6" t="inlineStr">
        <is>
          <t>Through %</t>
        </is>
      </c>
      <c r="BI2" s="6" t="inlineStr">
        <is>
          <t>Deep Completions</t>
        </is>
      </c>
      <c r="BJ2" s="6" t="inlineStr">
        <is>
          <t>Key Passes</t>
        </is>
      </c>
      <c r="BK2" s="6" t="inlineStr">
        <is>
          <t>2nd/3rd Assists</t>
        </is>
      </c>
      <c r="BL2" s="6" t="inlineStr">
        <is>
          <t>Shot Assists</t>
        </is>
      </c>
      <c r="BM2" s="7" t="inlineStr">
        <is>
          <t>Clean Sheets</t>
        </is>
      </c>
      <c r="BN2" s="7" t="inlineStr">
        <is>
          <t>Goals Against</t>
        </is>
      </c>
    </row>
    <row r="3" ht="18" customHeight="1" s="21">
      <c r="A3" s="8" t="n">
        <v>1</v>
      </c>
      <c r="B3" s="9" t="inlineStr">
        <is>
          <t>D. Schroeder</t>
        </is>
      </c>
      <c r="C3" s="10" t="inlineStr">
        <is>
          <t>Goalkeeper</t>
        </is>
      </c>
      <c r="D3" s="8" t="n">
        <v>8</v>
      </c>
      <c r="E3" s="8" t="n">
        <v>766</v>
      </c>
      <c r="F3" s="8" t="n">
        <v>96</v>
      </c>
      <c r="G3" s="8" t="n">
        <v>0</v>
      </c>
      <c r="H3" s="8" t="n">
        <v>0</v>
      </c>
      <c r="I3" s="8" t="n">
        <v>0</v>
      </c>
      <c r="J3" s="8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Q3" s="10" t="inlineStr">
        <is>
          <t>-</t>
        </is>
      </c>
      <c r="R3" s="10" t="inlineStr">
        <is>
          <t>-</t>
        </is>
      </c>
      <c r="S3" s="10" t="inlineStr">
        <is>
          <t>-</t>
        </is>
      </c>
      <c r="T3" s="10" t="inlineStr">
        <is>
          <t>-</t>
        </is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1193</v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  <c r="AI3" s="10" t="inlineStr">
        <is>
          <t>-</t>
        </is>
      </c>
      <c r="AJ3" s="10" t="inlineStr">
        <is>
          <t>-</t>
        </is>
      </c>
      <c r="AK3" s="10" t="inlineStr">
        <is>
          <t>-</t>
        </is>
      </c>
      <c r="AL3" s="10" t="inlineStr">
        <is>
          <t>-</t>
        </is>
      </c>
      <c r="AM3" s="10" t="inlineStr">
        <is>
          <t>-</t>
        </is>
      </c>
      <c r="AN3" s="10" t="inlineStr">
        <is>
          <t>-</t>
        </is>
      </c>
      <c r="AO3" s="10" t="inlineStr">
        <is>
          <t>-</t>
        </is>
      </c>
      <c r="AP3" s="10" t="inlineStr">
        <is>
          <t>-</t>
        </is>
      </c>
      <c r="AQ3" s="10" t="inlineStr">
        <is>
          <t>-</t>
        </is>
      </c>
      <c r="AR3" s="10" t="inlineStr">
        <is>
          <t>-</t>
        </is>
      </c>
      <c r="AS3" s="10" t="inlineStr">
        <is>
          <t>-</t>
        </is>
      </c>
      <c r="AT3" s="10" t="inlineStr">
        <is>
          <t>-</t>
        </is>
      </c>
      <c r="AU3" s="10" t="inlineStr">
        <is>
          <t>-</t>
        </is>
      </c>
      <c r="AV3" s="10" t="inlineStr">
        <is>
          <t>-</t>
        </is>
      </c>
      <c r="AW3" s="10" t="inlineStr">
        <is>
          <t>-</t>
        </is>
      </c>
      <c r="AX3" s="10" t="inlineStr">
        <is>
          <t>-</t>
        </is>
      </c>
      <c r="AY3" s="10" t="inlineStr">
        <is>
          <t>-</t>
        </is>
      </c>
      <c r="AZ3" s="10" t="inlineStr">
        <is>
          <t>-</t>
        </is>
      </c>
      <c r="BA3" s="10" t="inlineStr">
        <is>
          <t>-</t>
        </is>
      </c>
      <c r="BB3" s="10" t="inlineStr">
        <is>
          <t>-</t>
        </is>
      </c>
      <c r="BC3" s="10" t="inlineStr">
        <is>
          <t>-</t>
        </is>
      </c>
      <c r="BD3" s="10" t="inlineStr">
        <is>
          <t>-</t>
        </is>
      </c>
      <c r="BE3" s="10" t="inlineStr">
        <is>
          <t>-</t>
        </is>
      </c>
      <c r="BF3" s="10" t="inlineStr">
        <is>
          <t>-</t>
        </is>
      </c>
      <c r="BG3" s="10" t="inlineStr">
        <is>
          <t>-</t>
        </is>
      </c>
      <c r="BH3" s="10" t="inlineStr">
        <is>
          <t>-</t>
        </is>
      </c>
      <c r="BI3" s="10" t="inlineStr">
        <is>
          <t>-</t>
        </is>
      </c>
      <c r="BJ3" s="10" t="inlineStr">
        <is>
          <t>-</t>
        </is>
      </c>
      <c r="BK3" s="10" t="inlineStr">
        <is>
          <t>-</t>
        </is>
      </c>
      <c r="BL3" s="10" t="inlineStr">
        <is>
          <t>-</t>
        </is>
      </c>
      <c r="BM3" s="10" t="n">
        <v>3</v>
      </c>
      <c r="BN3" s="10" t="n">
        <v>0</v>
      </c>
    </row>
    <row r="4" ht="18" customHeight="1" s="21">
      <c r="A4" s="8" t="n">
        <v>23</v>
      </c>
      <c r="B4" s="9" t="inlineStr">
        <is>
          <t>E. Ingrey</t>
        </is>
      </c>
      <c r="C4" s="10" t="inlineStr">
        <is>
          <t>Goalkeeper</t>
        </is>
      </c>
      <c r="D4" s="8" t="n">
        <v>2</v>
      </c>
      <c r="E4" s="8" t="n">
        <v>191</v>
      </c>
      <c r="F4" s="8" t="n">
        <v>96</v>
      </c>
      <c r="G4" s="8" t="n">
        <v>0</v>
      </c>
      <c r="H4" s="8" t="n">
        <v>0</v>
      </c>
      <c r="I4" s="8" t="n">
        <v>0</v>
      </c>
      <c r="J4" s="8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Q4" s="10" t="inlineStr">
        <is>
          <t>-</t>
        </is>
      </c>
      <c r="R4" s="10" t="inlineStr">
        <is>
          <t>-</t>
        </is>
      </c>
      <c r="S4" s="10" t="inlineStr">
        <is>
          <t>-</t>
        </is>
      </c>
      <c r="T4" s="10" t="inlineStr">
        <is>
          <t>-</t>
        </is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1968</v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  <c r="AI4" s="10" t="inlineStr">
        <is>
          <t>-</t>
        </is>
      </c>
      <c r="AJ4" s="10" t="inlineStr">
        <is>
          <t>-</t>
        </is>
      </c>
      <c r="AK4" s="10" t="inlineStr">
        <is>
          <t>-</t>
        </is>
      </c>
      <c r="AL4" s="10" t="inlineStr">
        <is>
          <t>-</t>
        </is>
      </c>
      <c r="AM4" s="10" t="inlineStr">
        <is>
          <t>-</t>
        </is>
      </c>
      <c r="AN4" s="10" t="inlineStr">
        <is>
          <t>-</t>
        </is>
      </c>
      <c r="AO4" s="10" t="inlineStr">
        <is>
          <t>-</t>
        </is>
      </c>
      <c r="AP4" s="10" t="inlineStr">
        <is>
          <t>-</t>
        </is>
      </c>
      <c r="AQ4" s="10" t="inlineStr">
        <is>
          <t>-</t>
        </is>
      </c>
      <c r="AR4" s="10" t="inlineStr">
        <is>
          <t>-</t>
        </is>
      </c>
      <c r="AS4" s="10" t="inlineStr">
        <is>
          <t>-</t>
        </is>
      </c>
      <c r="AT4" s="10" t="inlineStr">
        <is>
          <t>-</t>
        </is>
      </c>
      <c r="AU4" s="10" t="inlineStr">
        <is>
          <t>-</t>
        </is>
      </c>
      <c r="AV4" s="10" t="inlineStr">
        <is>
          <t>-</t>
        </is>
      </c>
      <c r="AW4" s="10" t="inlineStr">
        <is>
          <t>-</t>
        </is>
      </c>
      <c r="AX4" s="10" t="inlineStr">
        <is>
          <t>-</t>
        </is>
      </c>
      <c r="AY4" s="10" t="inlineStr">
        <is>
          <t>-</t>
        </is>
      </c>
      <c r="AZ4" s="10" t="inlineStr">
        <is>
          <t>-</t>
        </is>
      </c>
      <c r="BA4" s="10" t="inlineStr">
        <is>
          <t>-</t>
        </is>
      </c>
      <c r="BB4" s="10" t="inlineStr">
        <is>
          <t>-</t>
        </is>
      </c>
      <c r="BC4" s="10" t="inlineStr">
        <is>
          <t>-</t>
        </is>
      </c>
      <c r="BD4" s="10" t="inlineStr">
        <is>
          <t>-</t>
        </is>
      </c>
      <c r="BE4" s="10" t="inlineStr">
        <is>
          <t>-</t>
        </is>
      </c>
      <c r="BF4" s="10" t="inlineStr">
        <is>
          <t>-</t>
        </is>
      </c>
      <c r="BG4" s="10" t="inlineStr">
        <is>
          <t>-</t>
        </is>
      </c>
      <c r="BH4" s="10" t="inlineStr">
        <is>
          <t>-</t>
        </is>
      </c>
      <c r="BI4" s="10" t="inlineStr">
        <is>
          <t>-</t>
        </is>
      </c>
      <c r="BJ4" s="10" t="inlineStr">
        <is>
          <t>-</t>
        </is>
      </c>
      <c r="BK4" s="10" t="inlineStr">
        <is>
          <t>-</t>
        </is>
      </c>
      <c r="BL4" s="10" t="inlineStr">
        <is>
          <t>-</t>
        </is>
      </c>
      <c r="BM4" s="10" t="inlineStr">
        <is>
          <t>-</t>
        </is>
      </c>
      <c r="BN4" s="10" t="inlineStr">
        <is>
          <t>-</t>
        </is>
      </c>
    </row>
    <row r="5" ht="18" customHeight="1" s="21">
      <c r="A5" s="11" t="n">
        <v>5</v>
      </c>
      <c r="B5" s="12" t="inlineStr">
        <is>
          <t>E. Nossent</t>
        </is>
      </c>
      <c r="C5" s="13" t="inlineStr">
        <is>
          <t>Defender</t>
        </is>
      </c>
      <c r="D5" s="11" t="n">
        <v>10</v>
      </c>
      <c r="E5" s="11" t="n">
        <v>881</v>
      </c>
      <c r="F5" s="11" t="n">
        <v>88</v>
      </c>
      <c r="G5" s="11" t="n">
        <v>1</v>
      </c>
      <c r="H5" s="11" t="n">
        <v>1.33</v>
      </c>
      <c r="I5" s="11" t="n">
        <v>0</v>
      </c>
      <c r="J5" s="11" t="n">
        <v>0.45</v>
      </c>
      <c r="K5" s="13" t="inlineStr">
        <is>
          <t>5/2</t>
        </is>
      </c>
      <c r="L5" s="13" t="n">
        <v>40</v>
      </c>
      <c r="M5" s="13" t="inlineStr">
        <is>
          <t>306/223</t>
        </is>
      </c>
      <c r="N5" s="13" t="n">
        <v>73</v>
      </c>
      <c r="O5" s="13" t="inlineStr">
        <is>
          <t>17/2</t>
        </is>
      </c>
      <c r="P5" s="13" t="n">
        <v>12</v>
      </c>
      <c r="Q5" s="13" t="inlineStr">
        <is>
          <t>4/2</t>
        </is>
      </c>
      <c r="R5" s="13" t="n">
        <v>50</v>
      </c>
      <c r="S5" s="13" t="inlineStr">
        <is>
          <t>111/67</t>
        </is>
      </c>
      <c r="T5" s="13" t="n">
        <v>60</v>
      </c>
      <c r="U5" s="11" t="n">
        <v>93</v>
      </c>
      <c r="V5" s="11" t="n">
        <v>22</v>
      </c>
      <c r="W5" s="11" t="n">
        <v>81</v>
      </c>
      <c r="X5" s="11" t="n">
        <v>25</v>
      </c>
      <c r="Y5" s="11" t="n">
        <v>10</v>
      </c>
      <c r="Z5" s="11" t="n">
        <v>0</v>
      </c>
      <c r="AA5" s="11" t="n">
        <v>0</v>
      </c>
      <c r="AB5" s="11" t="n">
        <v>1315</v>
      </c>
      <c r="AC5" s="13" t="inlineStr">
        <is>
          <t>64 / 45</t>
        </is>
      </c>
      <c r="AD5" s="13" t="inlineStr">
        <is>
          <t>70%</t>
        </is>
      </c>
      <c r="AE5" s="13" t="inlineStr">
        <is>
          <t>25 / 9</t>
        </is>
      </c>
      <c r="AF5" s="13" t="inlineStr">
        <is>
          <t>36%</t>
        </is>
      </c>
      <c r="AG5" s="13" t="inlineStr">
        <is>
          <t>11 / 5</t>
        </is>
      </c>
      <c r="AH5" s="13" t="inlineStr">
        <is>
          <t>45%</t>
        </is>
      </c>
      <c r="AI5" s="13" t="inlineStr">
        <is>
          <t>11 / 8</t>
        </is>
      </c>
      <c r="AJ5" s="13" t="inlineStr">
        <is>
          <t>73%</t>
        </is>
      </c>
      <c r="AK5" s="13" t="n">
        <v>4</v>
      </c>
      <c r="AL5" s="13" t="inlineStr">
        <is>
          <t>49 / 19</t>
        </is>
      </c>
      <c r="AM5" s="13" t="inlineStr">
        <is>
          <t>2 / 1</t>
        </is>
      </c>
      <c r="AN5" s="13" t="inlineStr">
        <is>
          <t>2 / 1</t>
        </is>
      </c>
      <c r="AO5" s="13" t="inlineStr">
        <is>
          <t>-</t>
        </is>
      </c>
      <c r="AP5" s="13" t="inlineStr">
        <is>
          <t>-</t>
        </is>
      </c>
      <c r="AQ5" s="13" t="inlineStr">
        <is>
          <t>-</t>
        </is>
      </c>
      <c r="AR5" s="13" t="n">
        <v>129</v>
      </c>
      <c r="AS5" s="13" t="inlineStr">
        <is>
          <t>141 / 95</t>
        </is>
      </c>
      <c r="AT5" s="13" t="n">
        <v>67</v>
      </c>
      <c r="AU5" s="13" t="inlineStr">
        <is>
          <t>47 / 44</t>
        </is>
      </c>
      <c r="AV5" s="13" t="n">
        <v>94</v>
      </c>
      <c r="AW5" s="13" t="inlineStr">
        <is>
          <t>67 / 42</t>
        </is>
      </c>
      <c r="AX5" s="13" t="n">
        <v>63</v>
      </c>
      <c r="AY5" s="13" t="inlineStr">
        <is>
          <t>251 / 203</t>
        </is>
      </c>
      <c r="AZ5" s="13" t="n">
        <v>81</v>
      </c>
      <c r="BA5" s="13" t="inlineStr">
        <is>
          <t>38 / 18</t>
        </is>
      </c>
      <c r="BB5" s="13" t="n">
        <v>47</v>
      </c>
      <c r="BC5" s="13" t="inlineStr">
        <is>
          <t>71 / 47</t>
        </is>
      </c>
      <c r="BD5" s="13" t="n">
        <v>66</v>
      </c>
      <c r="BE5" s="13" t="inlineStr">
        <is>
          <t>62 / 36</t>
        </is>
      </c>
      <c r="BF5" s="13" t="n">
        <v>58</v>
      </c>
      <c r="BG5" s="13" t="inlineStr">
        <is>
          <t>2 / 1</t>
        </is>
      </c>
      <c r="BH5" s="13" t="n">
        <v>50</v>
      </c>
      <c r="BI5" s="13" t="n">
        <v>1</v>
      </c>
      <c r="BJ5" s="13" t="n">
        <v>1</v>
      </c>
      <c r="BK5" s="13" t="inlineStr">
        <is>
          <t>1 / 0</t>
        </is>
      </c>
      <c r="BL5" s="13" t="n">
        <v>3</v>
      </c>
      <c r="BM5" s="13" t="inlineStr">
        <is>
          <t>-</t>
        </is>
      </c>
      <c r="BN5" s="13" t="inlineStr">
        <is>
          <t>-</t>
        </is>
      </c>
    </row>
    <row r="6" ht="18" customHeight="1" s="21">
      <c r="A6" s="11" t="n">
        <v>7</v>
      </c>
      <c r="B6" s="12" t="inlineStr">
        <is>
          <t>R. Marshall</t>
        </is>
      </c>
      <c r="C6" s="13" t="inlineStr">
        <is>
          <t>Defender</t>
        </is>
      </c>
      <c r="D6" s="11" t="n">
        <v>10</v>
      </c>
      <c r="E6" s="11" t="n">
        <v>782</v>
      </c>
      <c r="F6" s="11" t="n">
        <v>78</v>
      </c>
      <c r="G6" s="11" t="n">
        <v>4</v>
      </c>
      <c r="H6" s="11" t="n">
        <v>3.33</v>
      </c>
      <c r="I6" s="11" t="n">
        <v>3</v>
      </c>
      <c r="J6" s="11" t="n">
        <v>0.54</v>
      </c>
      <c r="K6" s="13" t="inlineStr">
        <is>
          <t>22/9</t>
        </is>
      </c>
      <c r="L6" s="13" t="n">
        <v>41</v>
      </c>
      <c r="M6" s="13" t="inlineStr">
        <is>
          <t>302/210</t>
        </is>
      </c>
      <c r="N6" s="13" t="n">
        <v>70</v>
      </c>
      <c r="O6" s="13" t="inlineStr">
        <is>
          <t>30/5</t>
        </is>
      </c>
      <c r="P6" s="13" t="n">
        <v>17</v>
      </c>
      <c r="Q6" s="13" t="inlineStr">
        <is>
          <t>31/16</t>
        </is>
      </c>
      <c r="R6" s="13" t="n">
        <v>52</v>
      </c>
      <c r="S6" s="13" t="inlineStr">
        <is>
          <t>188/90</t>
        </is>
      </c>
      <c r="T6" s="13" t="n">
        <v>48</v>
      </c>
      <c r="U6" s="11" t="n">
        <v>130</v>
      </c>
      <c r="V6" s="11" t="n">
        <v>25</v>
      </c>
      <c r="W6" s="11" t="n">
        <v>50</v>
      </c>
      <c r="X6" s="11" t="n">
        <v>31</v>
      </c>
      <c r="Y6" s="11" t="n">
        <v>37</v>
      </c>
      <c r="Z6" s="11" t="n">
        <v>1</v>
      </c>
      <c r="AA6" s="11" t="n">
        <v>0</v>
      </c>
      <c r="AB6" s="11" t="n">
        <v>1402</v>
      </c>
      <c r="AC6" s="13" t="inlineStr">
        <is>
          <t>59 / 40</t>
        </is>
      </c>
      <c r="AD6" s="13" t="inlineStr">
        <is>
          <t>68%</t>
        </is>
      </c>
      <c r="AE6" s="13" t="inlineStr">
        <is>
          <t>79 / 29</t>
        </is>
      </c>
      <c r="AF6" s="13" t="inlineStr">
        <is>
          <t>37%</t>
        </is>
      </c>
      <c r="AG6" s="13" t="inlineStr">
        <is>
          <t>22 / 10</t>
        </is>
      </c>
      <c r="AH6" s="13" t="inlineStr">
        <is>
          <t>45%</t>
        </is>
      </c>
      <c r="AI6" s="13" t="inlineStr">
        <is>
          <t>28 / 11</t>
        </is>
      </c>
      <c r="AJ6" s="13" t="inlineStr">
        <is>
          <t>39%</t>
        </is>
      </c>
      <c r="AK6" s="13" t="inlineStr">
        <is>
          <t>-</t>
        </is>
      </c>
      <c r="AL6" s="13" t="inlineStr">
        <is>
          <t>26 / 12</t>
        </is>
      </c>
      <c r="AM6" s="13" t="inlineStr">
        <is>
          <t>1 / 1</t>
        </is>
      </c>
      <c r="AN6" s="13" t="inlineStr">
        <is>
          <t>14 / 8</t>
        </is>
      </c>
      <c r="AO6" s="13" t="inlineStr">
        <is>
          <t>-</t>
        </is>
      </c>
      <c r="AP6" s="13" t="inlineStr">
        <is>
          <t>-</t>
        </is>
      </c>
      <c r="AQ6" s="13" t="inlineStr">
        <is>
          <t>-</t>
        </is>
      </c>
      <c r="AR6" s="13" t="n">
        <v>10</v>
      </c>
      <c r="AS6" s="13" t="inlineStr">
        <is>
          <t>97 / 66</t>
        </is>
      </c>
      <c r="AT6" s="13" t="n">
        <v>68</v>
      </c>
      <c r="AU6" s="13" t="inlineStr">
        <is>
          <t>71 / 63</t>
        </is>
      </c>
      <c r="AV6" s="13" t="n">
        <v>89</v>
      </c>
      <c r="AW6" s="13" t="inlineStr">
        <is>
          <t>98 / 61</t>
        </is>
      </c>
      <c r="AX6" s="13" t="n">
        <v>62</v>
      </c>
      <c r="AY6" s="13" t="inlineStr">
        <is>
          <t>239 / 189</t>
        </is>
      </c>
      <c r="AZ6" s="13" t="n">
        <v>79</v>
      </c>
      <c r="BA6" s="13" t="inlineStr">
        <is>
          <t>35 / 17</t>
        </is>
      </c>
      <c r="BB6" s="13" t="n">
        <v>49</v>
      </c>
      <c r="BC6" s="13" t="inlineStr">
        <is>
          <t>56 / 39</t>
        </is>
      </c>
      <c r="BD6" s="13" t="n">
        <v>70</v>
      </c>
      <c r="BE6" s="13" t="inlineStr">
        <is>
          <t>47 / 28</t>
        </is>
      </c>
      <c r="BF6" s="13" t="n">
        <v>60</v>
      </c>
      <c r="BG6" s="13" t="inlineStr">
        <is>
          <t>8 / 4</t>
        </is>
      </c>
      <c r="BH6" s="13" t="n">
        <v>50</v>
      </c>
      <c r="BI6" s="13" t="n">
        <v>11</v>
      </c>
      <c r="BJ6" s="13" t="n">
        <v>5</v>
      </c>
      <c r="BK6" s="13" t="inlineStr">
        <is>
          <t>0 / 1</t>
        </is>
      </c>
      <c r="BL6" s="13" t="n">
        <v>8</v>
      </c>
      <c r="BM6" s="13" t="inlineStr">
        <is>
          <t>-</t>
        </is>
      </c>
      <c r="BN6" s="13" t="inlineStr">
        <is>
          <t>-</t>
        </is>
      </c>
    </row>
    <row r="7" ht="18" customHeight="1" s="21">
      <c r="A7" s="11" t="n">
        <v>14</v>
      </c>
      <c r="B7" s="12" t="inlineStr">
        <is>
          <t>A. Ottobrino</t>
        </is>
      </c>
      <c r="C7" s="13" t="inlineStr">
        <is>
          <t>Defender</t>
        </is>
      </c>
      <c r="D7" s="11" t="n">
        <v>5</v>
      </c>
      <c r="E7" s="11" t="n">
        <v>185</v>
      </c>
      <c r="F7" s="11" t="n">
        <v>37</v>
      </c>
      <c r="G7" s="11" t="n">
        <v>0</v>
      </c>
      <c r="H7" s="11" t="n">
        <v>0</v>
      </c>
      <c r="I7" s="11" t="n">
        <v>1</v>
      </c>
      <c r="J7" s="11" t="n">
        <v>0.03</v>
      </c>
      <c r="K7" s="13" t="inlineStr">
        <is>
          <t>0/0</t>
        </is>
      </c>
      <c r="L7" s="13" t="n">
        <v>0</v>
      </c>
      <c r="M7" s="13" t="inlineStr">
        <is>
          <t>96/73</t>
        </is>
      </c>
      <c r="N7" s="13" t="n">
        <v>76</v>
      </c>
      <c r="O7" s="13" t="inlineStr">
        <is>
          <t>2/0</t>
        </is>
      </c>
      <c r="P7" s="13" t="n">
        <v>0</v>
      </c>
      <c r="Q7" s="13" t="inlineStr">
        <is>
          <t>0/0</t>
        </is>
      </c>
      <c r="R7" s="13" t="n">
        <v>0</v>
      </c>
      <c r="S7" s="13" t="inlineStr">
        <is>
          <t>19/9</t>
        </is>
      </c>
      <c r="T7" s="13" t="n">
        <v>47</v>
      </c>
      <c r="U7" s="11" t="n">
        <v>32</v>
      </c>
      <c r="V7" s="11" t="n">
        <v>6</v>
      </c>
      <c r="W7" s="11" t="n">
        <v>25</v>
      </c>
      <c r="X7" s="11" t="n">
        <v>17</v>
      </c>
      <c r="Y7" s="11" t="n">
        <v>2</v>
      </c>
      <c r="Z7" s="11" t="n">
        <v>0</v>
      </c>
      <c r="AA7" s="11" t="n">
        <v>0</v>
      </c>
      <c r="AB7" s="11" t="n">
        <v>1674</v>
      </c>
      <c r="AC7" s="13" t="inlineStr">
        <is>
          <t>13 / 9</t>
        </is>
      </c>
      <c r="AD7" s="13" t="inlineStr">
        <is>
          <t>69%</t>
        </is>
      </c>
      <c r="AE7" s="13" t="inlineStr">
        <is>
          <t>2 / 0</t>
        </is>
      </c>
      <c r="AF7" s="13" t="inlineStr">
        <is>
          <t>0%</t>
        </is>
      </c>
      <c r="AG7" s="13" t="inlineStr">
        <is>
          <t>2 / 0</t>
        </is>
      </c>
      <c r="AH7" s="13" t="inlineStr">
        <is>
          <t>0%</t>
        </is>
      </c>
      <c r="AI7" s="13" t="inlineStr">
        <is>
          <t>2 / 0</t>
        </is>
      </c>
      <c r="AJ7" s="13" t="inlineStr">
        <is>
          <t>0%</t>
        </is>
      </c>
      <c r="AK7" s="13" t="inlineStr">
        <is>
          <t>-</t>
        </is>
      </c>
      <c r="AL7" s="13" t="inlineStr">
        <is>
          <t>15 / 2</t>
        </is>
      </c>
      <c r="AM7" s="13" t="inlineStr">
        <is>
          <t>-</t>
        </is>
      </c>
      <c r="AN7" s="13" t="inlineStr">
        <is>
          <t>2 / 0</t>
        </is>
      </c>
      <c r="AO7" s="13" t="inlineStr">
        <is>
          <t>-</t>
        </is>
      </c>
      <c r="AP7" s="13" t="inlineStr">
        <is>
          <t>-</t>
        </is>
      </c>
      <c r="AQ7" s="13" t="inlineStr">
        <is>
          <t>-</t>
        </is>
      </c>
      <c r="AR7" s="13" t="n">
        <v>22</v>
      </c>
      <c r="AS7" s="13" t="inlineStr">
        <is>
          <t>42 / 31</t>
        </is>
      </c>
      <c r="AT7" s="13" t="n">
        <v>74</v>
      </c>
      <c r="AU7" s="13" t="inlineStr">
        <is>
          <t>7 / 7</t>
        </is>
      </c>
      <c r="AV7" s="13" t="n">
        <v>100</v>
      </c>
      <c r="AW7" s="13" t="inlineStr">
        <is>
          <t>28 / 22</t>
        </is>
      </c>
      <c r="AX7" s="13" t="n">
        <v>79</v>
      </c>
      <c r="AY7" s="13" t="inlineStr">
        <is>
          <t>84 / 67</t>
        </is>
      </c>
      <c r="AZ7" s="13" t="n">
        <v>80</v>
      </c>
      <c r="BA7" s="13" t="inlineStr">
        <is>
          <t>10 / 6</t>
        </is>
      </c>
      <c r="BB7" s="13" t="n">
        <v>60</v>
      </c>
      <c r="BC7" s="13" t="inlineStr">
        <is>
          <t>27 / 25</t>
        </is>
      </c>
      <c r="BD7" s="13" t="n">
        <v>93</v>
      </c>
      <c r="BE7" s="13" t="inlineStr">
        <is>
          <t>21 / 15</t>
        </is>
      </c>
      <c r="BF7" s="13" t="n">
        <v>71</v>
      </c>
      <c r="BG7" s="13" t="inlineStr">
        <is>
          <t>2 / 0</t>
        </is>
      </c>
      <c r="BH7" s="13" t="n">
        <v>0</v>
      </c>
      <c r="BI7" s="13" t="n">
        <v>1</v>
      </c>
      <c r="BJ7" s="13" t="n">
        <v>1</v>
      </c>
      <c r="BK7" s="13" t="inlineStr">
        <is>
          <t>0 / 1</t>
        </is>
      </c>
      <c r="BL7" s="13" t="n">
        <v>1</v>
      </c>
      <c r="BM7" s="13" t="inlineStr">
        <is>
          <t>-</t>
        </is>
      </c>
      <c r="BN7" s="13" t="inlineStr">
        <is>
          <t>-</t>
        </is>
      </c>
    </row>
    <row r="8" ht="18" customHeight="1" s="21">
      <c r="A8" s="11" t="n">
        <v>16</v>
      </c>
      <c r="B8" s="12" t="inlineStr">
        <is>
          <t>T. Attree</t>
        </is>
      </c>
      <c r="C8" s="13" t="inlineStr">
        <is>
          <t>Defender</t>
        </is>
      </c>
      <c r="D8" s="11" t="n">
        <v>10</v>
      </c>
      <c r="E8" s="11" t="n">
        <v>273</v>
      </c>
      <c r="F8" s="11" t="n">
        <v>27</v>
      </c>
      <c r="G8" s="11" t="n">
        <v>0</v>
      </c>
      <c r="H8" s="11" t="n">
        <v>0.45</v>
      </c>
      <c r="I8" s="11" t="n">
        <v>1</v>
      </c>
      <c r="J8" s="11" t="n">
        <v>0.7</v>
      </c>
      <c r="K8" s="13" t="inlineStr">
        <is>
          <t>6/2</t>
        </is>
      </c>
      <c r="L8" s="13" t="n">
        <v>33</v>
      </c>
      <c r="M8" s="13" t="inlineStr">
        <is>
          <t>110/64</t>
        </is>
      </c>
      <c r="N8" s="13" t="n">
        <v>58</v>
      </c>
      <c r="O8" s="13" t="inlineStr">
        <is>
          <t>17/5</t>
        </is>
      </c>
      <c r="P8" s="13" t="n">
        <v>29</v>
      </c>
      <c r="Q8" s="13" t="inlineStr">
        <is>
          <t>7/5</t>
        </is>
      </c>
      <c r="R8" s="13" t="n">
        <v>71</v>
      </c>
      <c r="S8" s="13" t="inlineStr">
        <is>
          <t>52/30</t>
        </is>
      </c>
      <c r="T8" s="13" t="n">
        <v>58</v>
      </c>
      <c r="U8" s="11" t="n">
        <v>59</v>
      </c>
      <c r="V8" s="11" t="n">
        <v>9</v>
      </c>
      <c r="W8" s="11" t="n">
        <v>20</v>
      </c>
      <c r="X8" s="11" t="n">
        <v>15</v>
      </c>
      <c r="Y8" s="11" t="n">
        <v>20</v>
      </c>
      <c r="Z8" s="11" t="n">
        <v>1</v>
      </c>
      <c r="AA8" s="11" t="n">
        <v>0</v>
      </c>
      <c r="AB8" s="11" t="n">
        <v>1413</v>
      </c>
      <c r="AC8" s="13" t="inlineStr">
        <is>
          <t>32 / 21</t>
        </is>
      </c>
      <c r="AD8" s="13" t="inlineStr">
        <is>
          <t>66%</t>
        </is>
      </c>
      <c r="AE8" s="13" t="inlineStr">
        <is>
          <t>14 / 7</t>
        </is>
      </c>
      <c r="AF8" s="13" t="inlineStr">
        <is>
          <t>50%</t>
        </is>
      </c>
      <c r="AG8" s="13" t="inlineStr">
        <is>
          <t>2 / 2</t>
        </is>
      </c>
      <c r="AH8" s="13" t="inlineStr">
        <is>
          <t>100%</t>
        </is>
      </c>
      <c r="AI8" s="13" t="inlineStr">
        <is>
          <t>4 / 0</t>
        </is>
      </c>
      <c r="AJ8" s="13" t="inlineStr">
        <is>
          <t>0%</t>
        </is>
      </c>
      <c r="AK8" s="13" t="inlineStr">
        <is>
          <t>-</t>
        </is>
      </c>
      <c r="AL8" s="13" t="inlineStr">
        <is>
          <t>15 / 3</t>
        </is>
      </c>
      <c r="AM8" s="13" t="inlineStr">
        <is>
          <t>3 / 0</t>
        </is>
      </c>
      <c r="AN8" s="13" t="inlineStr">
        <is>
          <t>8 / 1</t>
        </is>
      </c>
      <c r="AO8" s="13" t="inlineStr">
        <is>
          <t>-</t>
        </is>
      </c>
      <c r="AP8" s="13" t="inlineStr">
        <is>
          <t>-</t>
        </is>
      </c>
      <c r="AQ8" s="13" t="inlineStr">
        <is>
          <t>2</t>
        </is>
      </c>
      <c r="AR8" s="13" t="n">
        <v>5</v>
      </c>
      <c r="AS8" s="13" t="inlineStr">
        <is>
          <t>28 / 14</t>
        </is>
      </c>
      <c r="AT8" s="13" t="n">
        <v>50</v>
      </c>
      <c r="AU8" s="13" t="inlineStr">
        <is>
          <t>24 / 20</t>
        </is>
      </c>
      <c r="AV8" s="13" t="n">
        <v>83</v>
      </c>
      <c r="AW8" s="13" t="inlineStr">
        <is>
          <t>39 / 18</t>
        </is>
      </c>
      <c r="AX8" s="13" t="n">
        <v>46</v>
      </c>
      <c r="AY8" s="13" t="inlineStr">
        <is>
          <t>82 / 55</t>
        </is>
      </c>
      <c r="AZ8" s="13" t="n">
        <v>67</v>
      </c>
      <c r="BA8" s="13" t="inlineStr">
        <is>
          <t>13 / 5</t>
        </is>
      </c>
      <c r="BB8" s="13" t="n">
        <v>38</v>
      </c>
      <c r="BC8" s="13" t="inlineStr">
        <is>
          <t>23 / 17</t>
        </is>
      </c>
      <c r="BD8" s="13" t="n">
        <v>74</v>
      </c>
      <c r="BE8" s="13" t="inlineStr">
        <is>
          <t>15 / 5</t>
        </is>
      </c>
      <c r="BF8" s="13" t="n">
        <v>33</v>
      </c>
      <c r="BG8" s="13" t="inlineStr">
        <is>
          <t>2 / 0</t>
        </is>
      </c>
      <c r="BH8" s="13" t="n">
        <v>0</v>
      </c>
      <c r="BI8" s="13" t="n">
        <v>7</v>
      </c>
      <c r="BJ8" s="13" t="n">
        <v>2</v>
      </c>
      <c r="BK8" s="13" t="inlineStr">
        <is>
          <t>1 / 0</t>
        </is>
      </c>
      <c r="BL8" s="13" t="n">
        <v>8</v>
      </c>
      <c r="BM8" s="13" t="inlineStr">
        <is>
          <t>-</t>
        </is>
      </c>
      <c r="BN8" s="13" t="inlineStr">
        <is>
          <t>-</t>
        </is>
      </c>
    </row>
    <row r="9" ht="18" customHeight="1" s="21">
      <c r="A9" s="11" t="n">
        <v>17</v>
      </c>
      <c r="B9" s="12" t="inlineStr">
        <is>
          <t>K. Mccartney</t>
        </is>
      </c>
      <c r="C9" s="13" t="inlineStr">
        <is>
          <t>Defender</t>
        </is>
      </c>
      <c r="D9" s="11" t="n">
        <v>10</v>
      </c>
      <c r="E9" s="11" t="n">
        <v>957</v>
      </c>
      <c r="F9" s="11" t="n">
        <v>96</v>
      </c>
      <c r="G9" s="11" t="n">
        <v>1</v>
      </c>
      <c r="H9" s="11" t="n">
        <v>0.88</v>
      </c>
      <c r="I9" s="11" t="n">
        <v>2</v>
      </c>
      <c r="J9" s="11" t="n">
        <v>1.08</v>
      </c>
      <c r="K9" s="13" t="inlineStr">
        <is>
          <t>7/4</t>
        </is>
      </c>
      <c r="L9" s="13" t="n">
        <v>57</v>
      </c>
      <c r="M9" s="13" t="inlineStr">
        <is>
          <t>579/502</t>
        </is>
      </c>
      <c r="N9" s="13" t="n">
        <v>87</v>
      </c>
      <c r="O9" s="13" t="inlineStr">
        <is>
          <t>1/0</t>
        </is>
      </c>
      <c r="P9" s="13" t="n">
        <v>0</v>
      </c>
      <c r="Q9" s="13" t="inlineStr">
        <is>
          <t>2/0</t>
        </is>
      </c>
      <c r="R9" s="13" t="n">
        <v>0</v>
      </c>
      <c r="S9" s="13" t="inlineStr">
        <is>
          <t>59/35</t>
        </is>
      </c>
      <c r="T9" s="13" t="n">
        <v>59</v>
      </c>
      <c r="U9" s="11" t="n">
        <v>74</v>
      </c>
      <c r="V9" s="11" t="n">
        <v>35</v>
      </c>
      <c r="W9" s="11" t="n">
        <v>108</v>
      </c>
      <c r="X9" s="11" t="n">
        <v>21</v>
      </c>
      <c r="Y9" s="11" t="n">
        <v>4</v>
      </c>
      <c r="Z9" s="11" t="n">
        <v>0</v>
      </c>
      <c r="AA9" s="11" t="n">
        <v>0</v>
      </c>
      <c r="AB9" s="11" t="n">
        <v>1785</v>
      </c>
      <c r="AC9" s="13" t="inlineStr">
        <is>
          <t>35 / 27</t>
        </is>
      </c>
      <c r="AD9" s="13" t="inlineStr">
        <is>
          <t>77%</t>
        </is>
      </c>
      <c r="AE9" s="13" t="inlineStr">
        <is>
          <t>8 / 0</t>
        </is>
      </c>
      <c r="AF9" s="13" t="inlineStr">
        <is>
          <t>0%</t>
        </is>
      </c>
      <c r="AG9" s="13" t="inlineStr">
        <is>
          <t>8 / 4</t>
        </is>
      </c>
      <c r="AH9" s="13" t="inlineStr">
        <is>
          <t>50%</t>
        </is>
      </c>
      <c r="AI9" s="13" t="inlineStr">
        <is>
          <t>8 / 4</t>
        </is>
      </c>
      <c r="AJ9" s="13" t="inlineStr">
        <is>
          <t>50%</t>
        </is>
      </c>
      <c r="AK9" s="13" t="n">
        <v>3</v>
      </c>
      <c r="AL9" s="13" t="inlineStr">
        <is>
          <t>37 / 28</t>
        </is>
      </c>
      <c r="AM9" s="13" t="inlineStr">
        <is>
          <t>-</t>
        </is>
      </c>
      <c r="AN9" s="13" t="inlineStr">
        <is>
          <t>2 / 0</t>
        </is>
      </c>
      <c r="AO9" s="13" t="n">
        <v>17</v>
      </c>
      <c r="AP9" s="13" t="n">
        <v>3</v>
      </c>
      <c r="AQ9" s="13" t="inlineStr">
        <is>
          <t>-</t>
        </is>
      </c>
      <c r="AR9" s="13" t="n">
        <v>1</v>
      </c>
      <c r="AS9" s="13" t="inlineStr">
        <is>
          <t>238 / 178</t>
        </is>
      </c>
      <c r="AT9" s="13" t="n">
        <v>75</v>
      </c>
      <c r="AU9" s="13" t="inlineStr">
        <is>
          <t>31 / 30</t>
        </is>
      </c>
      <c r="AV9" s="13" t="n">
        <v>97</v>
      </c>
      <c r="AW9" s="13" t="inlineStr">
        <is>
          <t>262 / 252</t>
        </is>
      </c>
      <c r="AX9" s="13" t="n">
        <v>96</v>
      </c>
      <c r="AY9" s="13" t="inlineStr">
        <is>
          <t>474 / 444</t>
        </is>
      </c>
      <c r="AZ9" s="13" t="n">
        <v>94</v>
      </c>
      <c r="BA9" s="13" t="inlineStr">
        <is>
          <t>104 / 58</t>
        </is>
      </c>
      <c r="BB9" s="13" t="n">
        <v>56</v>
      </c>
      <c r="BC9" s="13" t="inlineStr">
        <is>
          <t>115 / 81</t>
        </is>
      </c>
      <c r="BD9" s="13" t="n">
        <v>70</v>
      </c>
      <c r="BE9" s="13" t="inlineStr">
        <is>
          <t>77 / 48</t>
        </is>
      </c>
      <c r="BF9" s="13" t="n">
        <v>62</v>
      </c>
      <c r="BG9" s="13" t="inlineStr">
        <is>
          <t>3 / 2</t>
        </is>
      </c>
      <c r="BH9" s="13" t="n">
        <v>67</v>
      </c>
      <c r="BI9" s="13" t="n">
        <v>2</v>
      </c>
      <c r="BJ9" s="13" t="n">
        <v>2</v>
      </c>
      <c r="BK9" s="13" t="inlineStr">
        <is>
          <t>0 / 1</t>
        </is>
      </c>
      <c r="BL9" s="13" t="n">
        <v>9</v>
      </c>
      <c r="BM9" s="13" t="inlineStr">
        <is>
          <t>-</t>
        </is>
      </c>
      <c r="BN9" s="13" t="inlineStr">
        <is>
          <t>-</t>
        </is>
      </c>
    </row>
    <row r="10" ht="18" customHeight="1" s="21">
      <c r="A10" s="14" t="n">
        <v>3</v>
      </c>
      <c r="B10" s="15" t="inlineStr">
        <is>
          <t>G. Warburton</t>
        </is>
      </c>
      <c r="C10" s="16" t="inlineStr">
        <is>
          <t>Midfielder</t>
        </is>
      </c>
      <c r="D10" s="14" t="n">
        <v>10</v>
      </c>
      <c r="E10" s="14" t="n">
        <v>688</v>
      </c>
      <c r="F10" s="14" t="n">
        <v>69</v>
      </c>
      <c r="G10" s="14" t="n">
        <v>0</v>
      </c>
      <c r="H10" s="14" t="n">
        <v>0.68</v>
      </c>
      <c r="I10" s="14" t="n">
        <v>0</v>
      </c>
      <c r="J10" s="14" t="n">
        <v>0.36</v>
      </c>
      <c r="K10" s="16" t="inlineStr">
        <is>
          <t>7/2</t>
        </is>
      </c>
      <c r="L10" s="16" t="n">
        <v>29</v>
      </c>
      <c r="M10" s="16" t="inlineStr">
        <is>
          <t>283/216</t>
        </is>
      </c>
      <c r="N10" s="16" t="n">
        <v>76</v>
      </c>
      <c r="O10" s="16" t="inlineStr">
        <is>
          <t>5/0</t>
        </is>
      </c>
      <c r="P10" s="16" t="n">
        <v>0</v>
      </c>
      <c r="Q10" s="16" t="inlineStr">
        <is>
          <t>7/4</t>
        </is>
      </c>
      <c r="R10" s="16" t="n">
        <v>57</v>
      </c>
      <c r="S10" s="16" t="inlineStr">
        <is>
          <t>146/63</t>
        </is>
      </c>
      <c r="T10" s="16" t="n">
        <v>43</v>
      </c>
      <c r="U10" s="14" t="n">
        <v>86</v>
      </c>
      <c r="V10" s="14" t="n">
        <v>25</v>
      </c>
      <c r="W10" s="14" t="n">
        <v>73</v>
      </c>
      <c r="X10" s="14" t="n">
        <v>49</v>
      </c>
      <c r="Y10" s="14" t="n">
        <v>17</v>
      </c>
      <c r="Z10" s="14" t="n">
        <v>0</v>
      </c>
      <c r="AA10" s="14" t="n">
        <v>0</v>
      </c>
      <c r="AB10" s="14" t="n">
        <v>1267</v>
      </c>
      <c r="AC10" s="16" t="inlineStr">
        <is>
          <t>65 / 45</t>
        </is>
      </c>
      <c r="AD10" s="16" t="inlineStr">
        <is>
          <t>69%</t>
        </is>
      </c>
      <c r="AE10" s="16" t="inlineStr">
        <is>
          <t>48 / 8</t>
        </is>
      </c>
      <c r="AF10" s="16" t="inlineStr">
        <is>
          <t>17%</t>
        </is>
      </c>
      <c r="AG10" s="16" t="inlineStr">
        <is>
          <t>13 / 3</t>
        </is>
      </c>
      <c r="AH10" s="16" t="inlineStr">
        <is>
          <t>23%</t>
        </is>
      </c>
      <c r="AI10" s="16" t="inlineStr">
        <is>
          <t>20 / 7</t>
        </is>
      </c>
      <c r="AJ10" s="16" t="inlineStr">
        <is>
          <t>35%</t>
        </is>
      </c>
      <c r="AK10" s="16" t="n">
        <v>1</v>
      </c>
      <c r="AL10" s="16" t="inlineStr">
        <is>
          <t>28 / 8</t>
        </is>
      </c>
      <c r="AM10" s="16" t="inlineStr">
        <is>
          <t>1 / 0</t>
        </is>
      </c>
      <c r="AN10" s="16" t="inlineStr">
        <is>
          <t>11 / 2</t>
        </is>
      </c>
      <c r="AO10" s="16" t="inlineStr">
        <is>
          <t>-</t>
        </is>
      </c>
      <c r="AP10" s="16" t="inlineStr">
        <is>
          <t>-</t>
        </is>
      </c>
      <c r="AQ10" s="16" t="inlineStr">
        <is>
          <t>-</t>
        </is>
      </c>
      <c r="AR10" s="16" t="n">
        <v>4</v>
      </c>
      <c r="AS10" s="16" t="inlineStr">
        <is>
          <t>82 / 54</t>
        </is>
      </c>
      <c r="AT10" s="16" t="n">
        <v>66</v>
      </c>
      <c r="AU10" s="16" t="inlineStr">
        <is>
          <t>72 / 66</t>
        </is>
      </c>
      <c r="AV10" s="16" t="n">
        <v>92</v>
      </c>
      <c r="AW10" s="16" t="inlineStr">
        <is>
          <t>85 / 62</t>
        </is>
      </c>
      <c r="AX10" s="16" t="n">
        <v>73</v>
      </c>
      <c r="AY10" s="16" t="inlineStr">
        <is>
          <t>259 / 207</t>
        </is>
      </c>
      <c r="AZ10" s="16" t="n">
        <v>80</v>
      </c>
      <c r="BA10" s="16" t="inlineStr">
        <is>
          <t>19 / 9</t>
        </is>
      </c>
      <c r="BB10" s="16" t="n">
        <v>47</v>
      </c>
      <c r="BC10" s="16" t="inlineStr">
        <is>
          <t>44 / 29</t>
        </is>
      </c>
      <c r="BD10" s="16" t="n">
        <v>66</v>
      </c>
      <c r="BE10" s="16" t="inlineStr">
        <is>
          <t>41 / 27</t>
        </is>
      </c>
      <c r="BF10" s="16" t="n">
        <v>66</v>
      </c>
      <c r="BG10" s="16" t="inlineStr">
        <is>
          <t>-</t>
        </is>
      </c>
      <c r="BH10" s="16" t="n">
        <v>0</v>
      </c>
      <c r="BI10" s="16" t="n">
        <v>8</v>
      </c>
      <c r="BJ10" s="16" t="n">
        <v>3</v>
      </c>
      <c r="BK10" s="16" t="inlineStr">
        <is>
          <t>1 / 0</t>
        </is>
      </c>
      <c r="BL10" s="16" t="n">
        <v>8</v>
      </c>
      <c r="BM10" s="16" t="inlineStr">
        <is>
          <t>-</t>
        </is>
      </c>
      <c r="BN10" s="16" t="inlineStr">
        <is>
          <t>-</t>
        </is>
      </c>
    </row>
    <row r="11" ht="18" customHeight="1" s="21">
      <c r="A11" s="14" t="n">
        <v>4</v>
      </c>
      <c r="B11" s="15" t="inlineStr">
        <is>
          <t>C. Wainwright</t>
        </is>
      </c>
      <c r="C11" s="16" t="inlineStr">
        <is>
          <t>Midfielder</t>
        </is>
      </c>
      <c r="D11" s="14" t="n">
        <v>4</v>
      </c>
      <c r="E11" s="14" t="n">
        <v>315</v>
      </c>
      <c r="F11" s="14" t="n">
        <v>79</v>
      </c>
      <c r="G11" s="14" t="n">
        <v>1</v>
      </c>
      <c r="H11" s="14" t="n">
        <v>0.33</v>
      </c>
      <c r="I11" s="14" t="n">
        <v>0</v>
      </c>
      <c r="J11" s="14" t="n">
        <v>1.17</v>
      </c>
      <c r="K11" s="16" t="inlineStr">
        <is>
          <t>4/3</t>
        </is>
      </c>
      <c r="L11" s="16" t="n">
        <v>75</v>
      </c>
      <c r="M11" s="16" t="inlineStr">
        <is>
          <t>169/139</t>
        </is>
      </c>
      <c r="N11" s="16" t="n">
        <v>82</v>
      </c>
      <c r="O11" s="16" t="inlineStr">
        <is>
          <t>2/1</t>
        </is>
      </c>
      <c r="P11" s="16" t="n">
        <v>50</v>
      </c>
      <c r="Q11" s="16" t="inlineStr">
        <is>
          <t>6/5</t>
        </is>
      </c>
      <c r="R11" s="16" t="n">
        <v>83</v>
      </c>
      <c r="S11" s="16" t="inlineStr">
        <is>
          <t>81/49</t>
        </is>
      </c>
      <c r="T11" s="16" t="n">
        <v>60</v>
      </c>
      <c r="U11" s="14" t="n">
        <v>34</v>
      </c>
      <c r="V11" s="14" t="n">
        <v>10</v>
      </c>
      <c r="W11" s="14" t="n">
        <v>54</v>
      </c>
      <c r="X11" s="14" t="n">
        <v>34</v>
      </c>
      <c r="Y11" s="14" t="n">
        <v>7</v>
      </c>
      <c r="Z11" s="14" t="n">
        <v>1</v>
      </c>
      <c r="AA11" s="14" t="n">
        <v>0</v>
      </c>
      <c r="AB11" s="14" t="n">
        <v>1317</v>
      </c>
      <c r="AC11" s="16" t="inlineStr">
        <is>
          <t>36 / 28</t>
        </is>
      </c>
      <c r="AD11" s="16" t="inlineStr">
        <is>
          <t>78%</t>
        </is>
      </c>
      <c r="AE11" s="16" t="inlineStr">
        <is>
          <t>22 / 11</t>
        </is>
      </c>
      <c r="AF11" s="16" t="inlineStr">
        <is>
          <t>50%</t>
        </is>
      </c>
      <c r="AG11" s="16" t="inlineStr">
        <is>
          <t>12 / 5</t>
        </is>
      </c>
      <c r="AH11" s="16" t="inlineStr">
        <is>
          <t>42%</t>
        </is>
      </c>
      <c r="AI11" s="16" t="inlineStr">
        <is>
          <t>11 / 5</t>
        </is>
      </c>
      <c r="AJ11" s="16" t="inlineStr">
        <is>
          <t>45%</t>
        </is>
      </c>
      <c r="AK11" s="16" t="inlineStr">
        <is>
          <t>-</t>
        </is>
      </c>
      <c r="AL11" s="16" t="inlineStr">
        <is>
          <t>21 / 2</t>
        </is>
      </c>
      <c r="AM11" s="16" t="inlineStr">
        <is>
          <t>4 / 1</t>
        </is>
      </c>
      <c r="AN11" s="16" t="inlineStr">
        <is>
          <t>4 / 3</t>
        </is>
      </c>
      <c r="AO11" s="16" t="inlineStr">
        <is>
          <t>-</t>
        </is>
      </c>
      <c r="AP11" s="16" t="inlineStr">
        <is>
          <t>-</t>
        </is>
      </c>
      <c r="AQ11" s="16" t="inlineStr">
        <is>
          <t>-</t>
        </is>
      </c>
      <c r="AR11" s="16" t="n">
        <v>1</v>
      </c>
      <c r="AS11" s="16" t="inlineStr">
        <is>
          <t>52 / 36</t>
        </is>
      </c>
      <c r="AT11" s="16" t="n">
        <v>69</v>
      </c>
      <c r="AU11" s="16" t="inlineStr">
        <is>
          <t>36 / 34</t>
        </is>
      </c>
      <c r="AV11" s="16" t="n">
        <v>94</v>
      </c>
      <c r="AW11" s="16" t="inlineStr">
        <is>
          <t>57 / 50</t>
        </is>
      </c>
      <c r="AX11" s="16" t="n">
        <v>88</v>
      </c>
      <c r="AY11" s="16" t="inlineStr">
        <is>
          <t>160 / 136</t>
        </is>
      </c>
      <c r="AZ11" s="16" t="n">
        <v>85</v>
      </c>
      <c r="BA11" s="16" t="inlineStr">
        <is>
          <t>7 / 2</t>
        </is>
      </c>
      <c r="BB11" s="16" t="n">
        <v>29</v>
      </c>
      <c r="BC11" s="16" t="inlineStr">
        <is>
          <t>24 / 18</t>
        </is>
      </c>
      <c r="BD11" s="16" t="n">
        <v>75</v>
      </c>
      <c r="BE11" s="16" t="inlineStr">
        <is>
          <t>34 / 24</t>
        </is>
      </c>
      <c r="BF11" s="16" t="n">
        <v>71</v>
      </c>
      <c r="BG11" s="16" t="inlineStr">
        <is>
          <t>2 / 1</t>
        </is>
      </c>
      <c r="BH11" s="16" t="n">
        <v>50</v>
      </c>
      <c r="BI11" s="16" t="n">
        <v>5</v>
      </c>
      <c r="BJ11" s="16" t="n">
        <v>3</v>
      </c>
      <c r="BK11" s="16" t="inlineStr">
        <is>
          <t>-</t>
        </is>
      </c>
      <c r="BL11" s="16" t="n">
        <v>4</v>
      </c>
      <c r="BM11" s="16" t="inlineStr">
        <is>
          <t>-</t>
        </is>
      </c>
      <c r="BN11" s="16" t="inlineStr">
        <is>
          <t>-</t>
        </is>
      </c>
    </row>
    <row r="12" ht="18" customHeight="1" s="21">
      <c r="A12" s="14" t="n">
        <v>8</v>
      </c>
      <c r="B12" s="15" t="inlineStr">
        <is>
          <t>D. McAllister</t>
        </is>
      </c>
      <c r="C12" s="16" t="inlineStr">
        <is>
          <t>Midfielder</t>
        </is>
      </c>
      <c r="D12" s="14" t="n">
        <v>7</v>
      </c>
      <c r="E12" s="14" t="n">
        <v>596</v>
      </c>
      <c r="F12" s="14" t="n">
        <v>85</v>
      </c>
      <c r="G12" s="14" t="n">
        <v>2</v>
      </c>
      <c r="H12" s="14" t="n">
        <v>1.04</v>
      </c>
      <c r="I12" s="14" t="n">
        <v>2</v>
      </c>
      <c r="J12" s="14" t="n">
        <v>1.74</v>
      </c>
      <c r="K12" s="16" t="inlineStr">
        <is>
          <t>13/7</t>
        </is>
      </c>
      <c r="L12" s="16" t="n">
        <v>54</v>
      </c>
      <c r="M12" s="16" t="inlineStr">
        <is>
          <t>221/163</t>
        </is>
      </c>
      <c r="N12" s="16" t="n">
        <v>74</v>
      </c>
      <c r="O12" s="16" t="inlineStr">
        <is>
          <t>16/8</t>
        </is>
      </c>
      <c r="P12" s="16" t="n">
        <v>50</v>
      </c>
      <c r="Q12" s="16" t="inlineStr">
        <is>
          <t>16/8</t>
        </is>
      </c>
      <c r="R12" s="16" t="n">
        <v>50</v>
      </c>
      <c r="S12" s="16" t="inlineStr">
        <is>
          <t>92/49</t>
        </is>
      </c>
      <c r="T12" s="16" t="n">
        <v>53</v>
      </c>
      <c r="U12" s="14" t="n">
        <v>63</v>
      </c>
      <c r="V12" s="14" t="n">
        <v>6</v>
      </c>
      <c r="W12" s="14" t="n">
        <v>39</v>
      </c>
      <c r="X12" s="14" t="n">
        <v>27</v>
      </c>
      <c r="Y12" s="14" t="n">
        <v>29</v>
      </c>
      <c r="Z12" s="14" t="n">
        <v>0</v>
      </c>
      <c r="AA12" s="14" t="n">
        <v>0</v>
      </c>
      <c r="AB12" s="14" t="n">
        <v>1465</v>
      </c>
      <c r="AC12" s="16" t="inlineStr">
        <is>
          <t>28 / 23</t>
        </is>
      </c>
      <c r="AD12" s="16" t="inlineStr">
        <is>
          <t>82%</t>
        </is>
      </c>
      <c r="AE12" s="16" t="inlineStr">
        <is>
          <t>49 / 18</t>
        </is>
      </c>
      <c r="AF12" s="16" t="inlineStr">
        <is>
          <t>37%</t>
        </is>
      </c>
      <c r="AG12" s="16" t="inlineStr">
        <is>
          <t>3 / 1</t>
        </is>
      </c>
      <c r="AH12" s="16" t="inlineStr">
        <is>
          <t>33%</t>
        </is>
      </c>
      <c r="AI12" s="16" t="inlineStr">
        <is>
          <t>12 / 7</t>
        </is>
      </c>
      <c r="AJ12" s="16" t="inlineStr">
        <is>
          <t>58%</t>
        </is>
      </c>
      <c r="AK12" s="16" t="inlineStr">
        <is>
          <t>-</t>
        </is>
      </c>
      <c r="AL12" s="16" t="inlineStr">
        <is>
          <t>16 / 1</t>
        </is>
      </c>
      <c r="AM12" s="16" t="inlineStr">
        <is>
          <t>-</t>
        </is>
      </c>
      <c r="AN12" s="16" t="inlineStr">
        <is>
          <t>2 / 1</t>
        </is>
      </c>
      <c r="AO12" s="16" t="inlineStr">
        <is>
          <t>-</t>
        </is>
      </c>
      <c r="AP12" s="16" t="inlineStr">
        <is>
          <t>-</t>
        </is>
      </c>
      <c r="AQ12" s="16" t="inlineStr">
        <is>
          <t>-</t>
        </is>
      </c>
      <c r="AR12" s="16" t="n">
        <v>2</v>
      </c>
      <c r="AS12" s="16" t="inlineStr">
        <is>
          <t>72 / 45</t>
        </is>
      </c>
      <c r="AT12" s="16" t="n">
        <v>63</v>
      </c>
      <c r="AU12" s="16" t="inlineStr">
        <is>
          <t>52 / 50</t>
        </is>
      </c>
      <c r="AV12" s="16" t="n">
        <v>96</v>
      </c>
      <c r="AW12" s="16" t="inlineStr">
        <is>
          <t>61 / 44</t>
        </is>
      </c>
      <c r="AX12" s="16" t="n">
        <v>72</v>
      </c>
      <c r="AY12" s="16" t="inlineStr">
        <is>
          <t>186 / 146</t>
        </is>
      </c>
      <c r="AZ12" s="16" t="n">
        <v>78</v>
      </c>
      <c r="BA12" s="16" t="inlineStr">
        <is>
          <t>23 / 13</t>
        </is>
      </c>
      <c r="BB12" s="16" t="n">
        <v>57</v>
      </c>
      <c r="BC12" s="16" t="inlineStr">
        <is>
          <t>34 / 25</t>
        </is>
      </c>
      <c r="BD12" s="16" t="n">
        <v>74</v>
      </c>
      <c r="BE12" s="16" t="inlineStr">
        <is>
          <t>28 / 15</t>
        </is>
      </c>
      <c r="BF12" s="16" t="n">
        <v>54</v>
      </c>
      <c r="BG12" s="16" t="inlineStr">
        <is>
          <t>2 / 0</t>
        </is>
      </c>
      <c r="BH12" s="16" t="n">
        <v>0</v>
      </c>
      <c r="BI12" s="16" t="n">
        <v>11</v>
      </c>
      <c r="BJ12" s="16" t="n">
        <v>4</v>
      </c>
      <c r="BK12" s="16" t="inlineStr">
        <is>
          <t>1 / 0</t>
        </is>
      </c>
      <c r="BL12" s="16" t="n">
        <v>11</v>
      </c>
      <c r="BM12" s="16" t="inlineStr">
        <is>
          <t>-</t>
        </is>
      </c>
      <c r="BN12" s="16" t="inlineStr">
        <is>
          <t>-</t>
        </is>
      </c>
    </row>
    <row r="13" ht="18" customHeight="1" s="21">
      <c r="A13" s="14" t="n">
        <v>10</v>
      </c>
      <c r="B13" s="15" t="inlineStr">
        <is>
          <t>M. Archibald</t>
        </is>
      </c>
      <c r="C13" s="16" t="inlineStr">
        <is>
          <t>Midfielder</t>
        </is>
      </c>
      <c r="D13" s="14" t="n">
        <v>10</v>
      </c>
      <c r="E13" s="14" t="n">
        <v>769</v>
      </c>
      <c r="F13" s="14" t="n">
        <v>77</v>
      </c>
      <c r="G13" s="14" t="n">
        <v>2</v>
      </c>
      <c r="H13" s="14" t="n">
        <v>2.35</v>
      </c>
      <c r="I13" s="14" t="n">
        <v>1</v>
      </c>
      <c r="J13" s="14" t="n">
        <v>1.75</v>
      </c>
      <c r="K13" s="16" t="inlineStr">
        <is>
          <t>23/10</t>
        </is>
      </c>
      <c r="L13" s="16" t="n">
        <v>43</v>
      </c>
      <c r="M13" s="16" t="inlineStr">
        <is>
          <t>324/227</t>
        </is>
      </c>
      <c r="N13" s="16" t="n">
        <v>70</v>
      </c>
      <c r="O13" s="16" t="inlineStr">
        <is>
          <t>12/4</t>
        </is>
      </c>
      <c r="P13" s="16" t="n">
        <v>33</v>
      </c>
      <c r="Q13" s="16" t="inlineStr">
        <is>
          <t>14/8</t>
        </is>
      </c>
      <c r="R13" s="16" t="n">
        <v>57</v>
      </c>
      <c r="S13" s="16" t="inlineStr">
        <is>
          <t>164/89</t>
        </is>
      </c>
      <c r="T13" s="16" t="n">
        <v>54</v>
      </c>
      <c r="U13" s="14" t="n">
        <v>119</v>
      </c>
      <c r="V13" s="14" t="n">
        <v>24</v>
      </c>
      <c r="W13" s="14" t="n">
        <v>76</v>
      </c>
      <c r="X13" s="14" t="n">
        <v>49</v>
      </c>
      <c r="Y13" s="14" t="n">
        <v>19</v>
      </c>
      <c r="Z13" s="14" t="n">
        <v>0</v>
      </c>
      <c r="AA13" s="14" t="n">
        <v>0</v>
      </c>
      <c r="AB13" s="14" t="n">
        <v>1526</v>
      </c>
      <c r="AC13" s="16" t="inlineStr">
        <is>
          <t>70 / 55</t>
        </is>
      </c>
      <c r="AD13" s="16" t="inlineStr">
        <is>
          <t>79%</t>
        </is>
      </c>
      <c r="AE13" s="16" t="inlineStr">
        <is>
          <t>57 / 17</t>
        </is>
      </c>
      <c r="AF13" s="16" t="inlineStr">
        <is>
          <t>30%</t>
        </is>
      </c>
      <c r="AG13" s="16" t="inlineStr">
        <is>
          <t>10 / 3</t>
        </is>
      </c>
      <c r="AH13" s="16" t="inlineStr">
        <is>
          <t>30%</t>
        </is>
      </c>
      <c r="AI13" s="16" t="inlineStr">
        <is>
          <t>27 / 14</t>
        </is>
      </c>
      <c r="AJ13" s="16" t="inlineStr">
        <is>
          <t>52%</t>
        </is>
      </c>
      <c r="AK13" s="16" t="n">
        <v>1</v>
      </c>
      <c r="AL13" s="16" t="inlineStr">
        <is>
          <t>35 / 9</t>
        </is>
      </c>
      <c r="AM13" s="16" t="inlineStr">
        <is>
          <t>1 / 1</t>
        </is>
      </c>
      <c r="AN13" s="16" t="inlineStr">
        <is>
          <t>11 / 4</t>
        </is>
      </c>
      <c r="AO13" s="16" t="inlineStr">
        <is>
          <t>-</t>
        </is>
      </c>
      <c r="AP13" s="16" t="inlineStr">
        <is>
          <t>-</t>
        </is>
      </c>
      <c r="AQ13" s="16" t="inlineStr">
        <is>
          <t>9</t>
        </is>
      </c>
      <c r="AR13" s="16" t="n">
        <v>2</v>
      </c>
      <c r="AS13" s="16" t="inlineStr">
        <is>
          <t>113 / 64</t>
        </is>
      </c>
      <c r="AT13" s="16" t="n">
        <v>57</v>
      </c>
      <c r="AU13" s="16" t="inlineStr">
        <is>
          <t>73 / 65</t>
        </is>
      </c>
      <c r="AV13" s="16" t="n">
        <v>89</v>
      </c>
      <c r="AW13" s="16" t="inlineStr">
        <is>
          <t>66 / 48</t>
        </is>
      </c>
      <c r="AX13" s="16" t="n">
        <v>73</v>
      </c>
      <c r="AY13" s="16" t="inlineStr">
        <is>
          <t>280 / 215</t>
        </is>
      </c>
      <c r="AZ13" s="16" t="n">
        <v>77</v>
      </c>
      <c r="BA13" s="16" t="inlineStr">
        <is>
          <t>32 / 8</t>
        </is>
      </c>
      <c r="BB13" s="16" t="n">
        <v>25</v>
      </c>
      <c r="BC13" s="16" t="inlineStr">
        <is>
          <t>50 / 37</t>
        </is>
      </c>
      <c r="BD13" s="16" t="n">
        <v>74</v>
      </c>
      <c r="BE13" s="16" t="inlineStr">
        <is>
          <t>64 / 36</t>
        </is>
      </c>
      <c r="BF13" s="16" t="n">
        <v>56</v>
      </c>
      <c r="BG13" s="16" t="inlineStr">
        <is>
          <t>3 / 1</t>
        </is>
      </c>
      <c r="BH13" s="16" t="n">
        <v>33</v>
      </c>
      <c r="BI13" s="16" t="n">
        <v>10</v>
      </c>
      <c r="BJ13" s="16" t="n">
        <v>5</v>
      </c>
      <c r="BK13" s="16" t="inlineStr">
        <is>
          <t>-</t>
        </is>
      </c>
      <c r="BL13" s="16" t="n">
        <v>13</v>
      </c>
      <c r="BM13" s="16" t="inlineStr">
        <is>
          <t>-</t>
        </is>
      </c>
      <c r="BN13" s="16" t="inlineStr">
        <is>
          <t>-</t>
        </is>
      </c>
    </row>
    <row r="14" ht="18" customHeight="1" s="21">
      <c r="A14" s="14" t="n">
        <v>11</v>
      </c>
      <c r="B14" s="15" t="inlineStr">
        <is>
          <t>M. Boehm</t>
        </is>
      </c>
      <c r="C14" s="16" t="inlineStr">
        <is>
          <t>Midfielder</t>
        </is>
      </c>
      <c r="D14" s="14" t="n">
        <v>9</v>
      </c>
      <c r="E14" s="14" t="n">
        <v>864</v>
      </c>
      <c r="F14" s="14" t="n">
        <v>96</v>
      </c>
      <c r="G14" s="14" t="n">
        <v>2</v>
      </c>
      <c r="H14" s="14" t="n">
        <v>0.88</v>
      </c>
      <c r="I14" s="14" t="n">
        <v>1</v>
      </c>
      <c r="J14" s="14" t="n">
        <v>0.07000000000000001</v>
      </c>
      <c r="K14" s="16" t="inlineStr">
        <is>
          <t>13/3</t>
        </is>
      </c>
      <c r="L14" s="16" t="n">
        <v>23</v>
      </c>
      <c r="M14" s="16" t="inlineStr">
        <is>
          <t>447/327</t>
        </is>
      </c>
      <c r="N14" s="16" t="n">
        <v>73</v>
      </c>
      <c r="O14" s="16" t="inlineStr">
        <is>
          <t>6/2</t>
        </is>
      </c>
      <c r="P14" s="16" t="n">
        <v>33</v>
      </c>
      <c r="Q14" s="16" t="inlineStr">
        <is>
          <t>13/10</t>
        </is>
      </c>
      <c r="R14" s="16" t="n">
        <v>77</v>
      </c>
      <c r="S14" s="16" t="inlineStr">
        <is>
          <t>144/98</t>
        </is>
      </c>
      <c r="T14" s="16" t="n">
        <v>68</v>
      </c>
      <c r="U14" s="14" t="n">
        <v>118</v>
      </c>
      <c r="V14" s="14" t="n">
        <v>44</v>
      </c>
      <c r="W14" s="14" t="n">
        <v>132</v>
      </c>
      <c r="X14" s="14" t="n">
        <v>34</v>
      </c>
      <c r="Y14" s="14" t="n">
        <v>12</v>
      </c>
      <c r="Z14" s="14" t="n">
        <v>1</v>
      </c>
      <c r="AA14" s="14" t="n">
        <v>0</v>
      </c>
      <c r="AB14" s="14" t="n">
        <v>1511</v>
      </c>
      <c r="AC14" s="16" t="inlineStr">
        <is>
          <t>68 / 58</t>
        </is>
      </c>
      <c r="AD14" s="16" t="inlineStr">
        <is>
          <t>85%</t>
        </is>
      </c>
      <c r="AE14" s="16" t="inlineStr">
        <is>
          <t>45 / 23</t>
        </is>
      </c>
      <c r="AF14" s="16" t="inlineStr">
        <is>
          <t>51%</t>
        </is>
      </c>
      <c r="AG14" s="16" t="inlineStr">
        <is>
          <t>17 / 8</t>
        </is>
      </c>
      <c r="AH14" s="16" t="inlineStr">
        <is>
          <t>47%</t>
        </is>
      </c>
      <c r="AI14" s="16" t="inlineStr">
        <is>
          <t>14 / 9</t>
        </is>
      </c>
      <c r="AJ14" s="16" t="inlineStr">
        <is>
          <t>64%</t>
        </is>
      </c>
      <c r="AK14" s="16" t="n">
        <v>3</v>
      </c>
      <c r="AL14" s="16" t="inlineStr">
        <is>
          <t>62 / 33</t>
        </is>
      </c>
      <c r="AM14" s="16" t="inlineStr">
        <is>
          <t>1 / 1</t>
        </is>
      </c>
      <c r="AN14" s="16" t="inlineStr">
        <is>
          <t>3 / 5</t>
        </is>
      </c>
      <c r="AO14" s="16" t="n">
        <v>2</v>
      </c>
      <c r="AP14" s="16" t="inlineStr">
        <is>
          <t>-</t>
        </is>
      </c>
      <c r="AQ14" s="16" t="inlineStr">
        <is>
          <t>-</t>
        </is>
      </c>
      <c r="AR14" s="16" t="n">
        <v>1</v>
      </c>
      <c r="AS14" s="16" t="inlineStr">
        <is>
          <t>244 / 154</t>
        </is>
      </c>
      <c r="AT14" s="16" t="n">
        <v>63</v>
      </c>
      <c r="AU14" s="16" t="inlineStr">
        <is>
          <t>26 / 24</t>
        </is>
      </c>
      <c r="AV14" s="16" t="n">
        <v>92</v>
      </c>
      <c r="AW14" s="16" t="inlineStr">
        <is>
          <t>136 / 115</t>
        </is>
      </c>
      <c r="AX14" s="16" t="n">
        <v>85</v>
      </c>
      <c r="AY14" s="16" t="inlineStr">
        <is>
          <t>361 / 296</t>
        </is>
      </c>
      <c r="AZ14" s="16" t="n">
        <v>82</v>
      </c>
      <c r="BA14" s="16" t="inlineStr">
        <is>
          <t>80 / 29</t>
        </is>
      </c>
      <c r="BB14" s="16" t="n">
        <v>36</v>
      </c>
      <c r="BC14" s="16" t="inlineStr">
        <is>
          <t>115 / 74</t>
        </is>
      </c>
      <c r="BD14" s="16" t="n">
        <v>64</v>
      </c>
      <c r="BE14" s="16" t="inlineStr">
        <is>
          <t>86 / 47</t>
        </is>
      </c>
      <c r="BF14" s="16" t="n">
        <v>55</v>
      </c>
      <c r="BG14" s="16" t="inlineStr">
        <is>
          <t>9 / 3</t>
        </is>
      </c>
      <c r="BH14" s="16" t="n">
        <v>33</v>
      </c>
      <c r="BI14" s="16" t="n">
        <v>5</v>
      </c>
      <c r="BJ14" s="16" t="n">
        <v>1</v>
      </c>
      <c r="BK14" s="16" t="inlineStr">
        <is>
          <t>-</t>
        </is>
      </c>
      <c r="BL14" s="16" t="n">
        <v>5</v>
      </c>
      <c r="BM14" s="16" t="inlineStr">
        <is>
          <t>-</t>
        </is>
      </c>
      <c r="BN14" s="16" t="inlineStr">
        <is>
          <t>-</t>
        </is>
      </c>
    </row>
    <row r="15" ht="18" customHeight="1" s="21">
      <c r="A15" s="17" t="n">
        <v>6</v>
      </c>
      <c r="B15" s="18" t="inlineStr">
        <is>
          <t>X. Dalton</t>
        </is>
      </c>
      <c r="C15" s="19" t="inlineStr">
        <is>
          <t>Attacker</t>
        </is>
      </c>
      <c r="D15" s="17" t="n">
        <v>8</v>
      </c>
      <c r="E15" s="17" t="n">
        <v>246</v>
      </c>
      <c r="F15" s="17" t="n">
        <v>31</v>
      </c>
      <c r="G15" s="17" t="n">
        <v>0</v>
      </c>
      <c r="H15" s="17" t="n">
        <v>0.62</v>
      </c>
      <c r="I15" s="17" t="n">
        <v>0</v>
      </c>
      <c r="J15" s="17" t="n">
        <v>0.13</v>
      </c>
      <c r="K15" s="19" t="inlineStr">
        <is>
          <t>12/4</t>
        </is>
      </c>
      <c r="L15" s="19" t="n">
        <v>33</v>
      </c>
      <c r="M15" s="19" t="inlineStr">
        <is>
          <t>67/47</t>
        </is>
      </c>
      <c r="N15" s="19" t="n">
        <v>70</v>
      </c>
      <c r="O15" s="19" t="inlineStr">
        <is>
          <t>4/2</t>
        </is>
      </c>
      <c r="P15" s="19" t="n">
        <v>50</v>
      </c>
      <c r="Q15" s="19" t="inlineStr">
        <is>
          <t>8/4</t>
        </is>
      </c>
      <c r="R15" s="19" t="n">
        <v>50</v>
      </c>
      <c r="S15" s="19" t="inlineStr">
        <is>
          <t>45/25</t>
        </is>
      </c>
      <c r="T15" s="19" t="n">
        <v>56</v>
      </c>
      <c r="U15" s="17" t="n">
        <v>36</v>
      </c>
      <c r="V15" s="17" t="n">
        <v>4</v>
      </c>
      <c r="W15" s="17" t="n">
        <v>7</v>
      </c>
      <c r="X15" s="17" t="n">
        <v>4</v>
      </c>
      <c r="Y15" s="17" t="n">
        <v>11</v>
      </c>
      <c r="Z15" s="17" t="n">
        <v>0</v>
      </c>
      <c r="AA15" s="17" t="n">
        <v>0</v>
      </c>
      <c r="AB15" s="17" t="n">
        <v>1339</v>
      </c>
      <c r="AC15" s="19" t="inlineStr">
        <is>
          <t>14 / 12</t>
        </is>
      </c>
      <c r="AD15" s="19" t="inlineStr">
        <is>
          <t>86%</t>
        </is>
      </c>
      <c r="AE15" s="19" t="inlineStr">
        <is>
          <t>18 / 8</t>
        </is>
      </c>
      <c r="AF15" s="19" t="inlineStr">
        <is>
          <t>44%</t>
        </is>
      </c>
      <c r="AG15" s="19" t="inlineStr">
        <is>
          <t>3 / 2</t>
        </is>
      </c>
      <c r="AH15" s="19" t="inlineStr">
        <is>
          <t>67%</t>
        </is>
      </c>
      <c r="AI15" s="19" t="inlineStr">
        <is>
          <t>10 / 3</t>
        </is>
      </c>
      <c r="AJ15" s="19" t="inlineStr">
        <is>
          <t>30%</t>
        </is>
      </c>
      <c r="AK15" s="19" t="n">
        <v>1</v>
      </c>
      <c r="AL15" s="19" t="inlineStr">
        <is>
          <t>6 / 0</t>
        </is>
      </c>
      <c r="AM15" s="19" t="inlineStr">
        <is>
          <t>-</t>
        </is>
      </c>
      <c r="AN15" s="19" t="inlineStr">
        <is>
          <t>2 / 2</t>
        </is>
      </c>
      <c r="AO15" s="19" t="inlineStr">
        <is>
          <t>-</t>
        </is>
      </c>
      <c r="AP15" s="19" t="inlineStr">
        <is>
          <t>-</t>
        </is>
      </c>
      <c r="AQ15" s="19" t="inlineStr">
        <is>
          <t>-</t>
        </is>
      </c>
      <c r="AR15" s="19" t="inlineStr">
        <is>
          <t>-</t>
        </is>
      </c>
      <c r="AS15" s="19" t="inlineStr">
        <is>
          <t>14 / 8</t>
        </is>
      </c>
      <c r="AT15" s="19" t="n">
        <v>57</v>
      </c>
      <c r="AU15" s="19" t="inlineStr">
        <is>
          <t>28 / 20</t>
        </is>
      </c>
      <c r="AV15" s="19" t="n">
        <v>71</v>
      </c>
      <c r="AW15" s="19" t="inlineStr">
        <is>
          <t>16 / 13</t>
        </is>
      </c>
      <c r="AX15" s="19" t="n">
        <v>81</v>
      </c>
      <c r="AY15" s="19" t="inlineStr">
        <is>
          <t>59 / 44</t>
        </is>
      </c>
      <c r="AZ15" s="19" t="n">
        <v>75</v>
      </c>
      <c r="BA15" s="19" t="inlineStr">
        <is>
          <t>4 / 1</t>
        </is>
      </c>
      <c r="BB15" s="19" t="n">
        <v>25</v>
      </c>
      <c r="BC15" s="19" t="inlineStr">
        <is>
          <t>7 / 6</t>
        </is>
      </c>
      <c r="BD15" s="19" t="n">
        <v>86</v>
      </c>
      <c r="BE15" s="19" t="inlineStr">
        <is>
          <t>8 / 4</t>
        </is>
      </c>
      <c r="BF15" s="19" t="n">
        <v>50</v>
      </c>
      <c r="BG15" s="19" t="inlineStr">
        <is>
          <t>-</t>
        </is>
      </c>
      <c r="BH15" s="19" t="n">
        <v>0</v>
      </c>
      <c r="BI15" s="19" t="n">
        <v>2</v>
      </c>
      <c r="BJ15" s="19" t="n">
        <v>1</v>
      </c>
      <c r="BK15" s="19" t="inlineStr">
        <is>
          <t>-</t>
        </is>
      </c>
      <c r="BL15" s="19" t="n">
        <v>1</v>
      </c>
      <c r="BM15" s="19" t="inlineStr">
        <is>
          <t>-</t>
        </is>
      </c>
      <c r="BN15" s="19" t="inlineStr">
        <is>
          <t>-</t>
        </is>
      </c>
    </row>
    <row r="16" ht="18" customHeight="1" s="21">
      <c r="A16" s="17" t="n">
        <v>9</v>
      </c>
      <c r="B16" s="18" t="inlineStr">
        <is>
          <t>L. Tana</t>
        </is>
      </c>
      <c r="C16" s="19" t="inlineStr">
        <is>
          <t>Attacker</t>
        </is>
      </c>
      <c r="D16" s="17" t="n">
        <v>10</v>
      </c>
      <c r="E16" s="17" t="n">
        <v>938</v>
      </c>
      <c r="F16" s="17" t="n">
        <v>94</v>
      </c>
      <c r="G16" s="17" t="n">
        <v>0</v>
      </c>
      <c r="H16" s="17" t="n">
        <v>0.16</v>
      </c>
      <c r="I16" s="17" t="n">
        <v>0</v>
      </c>
      <c r="J16" s="17" t="n">
        <v>0.08</v>
      </c>
      <c r="K16" s="19" t="inlineStr">
        <is>
          <t>5/2</t>
        </is>
      </c>
      <c r="L16" s="19" t="n">
        <v>40</v>
      </c>
      <c r="M16" s="19" t="inlineStr">
        <is>
          <t>507/438</t>
        </is>
      </c>
      <c r="N16" s="19" t="n">
        <v>86</v>
      </c>
      <c r="O16" s="19" t="inlineStr">
        <is>
          <t>10/2</t>
        </is>
      </c>
      <c r="P16" s="19" t="n">
        <v>20</v>
      </c>
      <c r="Q16" s="19" t="inlineStr">
        <is>
          <t>15/11</t>
        </is>
      </c>
      <c r="R16" s="19" t="n">
        <v>73</v>
      </c>
      <c r="S16" s="19" t="inlineStr">
        <is>
          <t>179/107</t>
        </is>
      </c>
      <c r="T16" s="19" t="n">
        <v>60</v>
      </c>
      <c r="U16" s="17" t="n">
        <v>109</v>
      </c>
      <c r="V16" s="17" t="n">
        <v>54</v>
      </c>
      <c r="W16" s="17" t="n">
        <v>145</v>
      </c>
      <c r="X16" s="17" t="n">
        <v>44</v>
      </c>
      <c r="Y16" s="17" t="n">
        <v>2</v>
      </c>
      <c r="Z16" s="17" t="n">
        <v>1</v>
      </c>
      <c r="AA16" s="17" t="n">
        <v>0</v>
      </c>
      <c r="AB16" s="17" t="n">
        <v>1424</v>
      </c>
      <c r="AC16" s="19" t="inlineStr">
        <is>
          <t>114 / 78</t>
        </is>
      </c>
      <c r="AD16" s="19" t="inlineStr">
        <is>
          <t>68%</t>
        </is>
      </c>
      <c r="AE16" s="19" t="inlineStr">
        <is>
          <t>43 / 21</t>
        </is>
      </c>
      <c r="AF16" s="19" t="inlineStr">
        <is>
          <t>49%</t>
        </is>
      </c>
      <c r="AG16" s="19" t="inlineStr">
        <is>
          <t>8 / 4</t>
        </is>
      </c>
      <c r="AH16" s="19" t="inlineStr">
        <is>
          <t>50%</t>
        </is>
      </c>
      <c r="AI16" s="19" t="inlineStr">
        <is>
          <t>14 / 4</t>
        </is>
      </c>
      <c r="AJ16" s="19" t="inlineStr">
        <is>
          <t>29%</t>
        </is>
      </c>
      <c r="AK16" s="19" t="inlineStr">
        <is>
          <t>-</t>
        </is>
      </c>
      <c r="AL16" s="19" t="inlineStr">
        <is>
          <t>74 / 11</t>
        </is>
      </c>
      <c r="AM16" s="19" t="inlineStr">
        <is>
          <t>-</t>
        </is>
      </c>
      <c r="AN16" s="19" t="inlineStr">
        <is>
          <t>11 / 7</t>
        </is>
      </c>
      <c r="AO16" s="19" t="inlineStr">
        <is>
          <t>-</t>
        </is>
      </c>
      <c r="AP16" s="19" t="inlineStr">
        <is>
          <t>-</t>
        </is>
      </c>
      <c r="AQ16" s="19" t="inlineStr">
        <is>
          <t>-</t>
        </is>
      </c>
      <c r="AR16" s="19" t="n">
        <v>97</v>
      </c>
      <c r="AS16" s="19" t="inlineStr">
        <is>
          <t>208 / 166</t>
        </is>
      </c>
      <c r="AT16" s="19" t="n">
        <v>80</v>
      </c>
      <c r="AU16" s="19" t="inlineStr">
        <is>
          <t>86 / 78</t>
        </is>
      </c>
      <c r="AV16" s="19" t="n">
        <v>91</v>
      </c>
      <c r="AW16" s="19" t="inlineStr">
        <is>
          <t>139 / 126</t>
        </is>
      </c>
      <c r="AX16" s="19" t="n">
        <v>91</v>
      </c>
      <c r="AY16" s="19" t="inlineStr">
        <is>
          <t>482 / 429</t>
        </is>
      </c>
      <c r="AZ16" s="19" t="n">
        <v>89</v>
      </c>
      <c r="BA16" s="19" t="inlineStr">
        <is>
          <t>15 / 7</t>
        </is>
      </c>
      <c r="BB16" s="19" t="n">
        <v>47</v>
      </c>
      <c r="BC16" s="19" t="inlineStr">
        <is>
          <t>89 / 65</t>
        </is>
      </c>
      <c r="BD16" s="19" t="n">
        <v>73</v>
      </c>
      <c r="BE16" s="19" t="inlineStr">
        <is>
          <t>55 / 42</t>
        </is>
      </c>
      <c r="BF16" s="19" t="n">
        <v>76</v>
      </c>
      <c r="BG16" s="19" t="inlineStr">
        <is>
          <t>2 / 0</t>
        </is>
      </c>
      <c r="BH16" s="19" t="n">
        <v>0</v>
      </c>
      <c r="BI16" s="19" t="n">
        <v>0</v>
      </c>
      <c r="BJ16" s="19" t="n">
        <v>0</v>
      </c>
      <c r="BK16" s="19" t="inlineStr">
        <is>
          <t>1 / 0</t>
        </is>
      </c>
      <c r="BL16" s="19" t="n">
        <v>3</v>
      </c>
      <c r="BM16" s="19" t="inlineStr">
        <is>
          <t>-</t>
        </is>
      </c>
      <c r="BN16" s="19" t="inlineStr">
        <is>
          <t>-</t>
        </is>
      </c>
    </row>
    <row r="17" ht="18" customHeight="1" s="21">
      <c r="A17" s="17" t="n">
        <v>12</v>
      </c>
      <c r="B17" s="18" t="inlineStr">
        <is>
          <t>A. Zindell</t>
        </is>
      </c>
      <c r="C17" s="19" t="inlineStr">
        <is>
          <t>Attacker</t>
        </is>
      </c>
      <c r="D17" s="17" t="n">
        <v>6</v>
      </c>
      <c r="E17" s="17" t="n">
        <v>73</v>
      </c>
      <c r="F17" s="17" t="n">
        <v>12</v>
      </c>
      <c r="G17" s="17" t="n">
        <v>1</v>
      </c>
      <c r="H17" s="17" t="n">
        <v>1.1</v>
      </c>
      <c r="I17" s="17" t="n">
        <v>0</v>
      </c>
      <c r="J17" s="17" t="n">
        <v>0</v>
      </c>
      <c r="K17" s="19" t="inlineStr">
        <is>
          <t>7/2</t>
        </is>
      </c>
      <c r="L17" s="19" t="n">
        <v>29</v>
      </c>
      <c r="M17" s="19" t="inlineStr">
        <is>
          <t>13/9</t>
        </is>
      </c>
      <c r="N17" s="19" t="n">
        <v>69</v>
      </c>
      <c r="O17" s="19" t="inlineStr">
        <is>
          <t>0/0</t>
        </is>
      </c>
      <c r="P17" s="19" t="n">
        <v>0</v>
      </c>
      <c r="Q17" s="19" t="inlineStr">
        <is>
          <t>7/4</t>
        </is>
      </c>
      <c r="R17" s="19" t="n">
        <v>57</v>
      </c>
      <c r="S17" s="19" t="inlineStr">
        <is>
          <t>17/5</t>
        </is>
      </c>
      <c r="T17" s="19" t="n">
        <v>29</v>
      </c>
      <c r="U17" s="17" t="n">
        <v>7</v>
      </c>
      <c r="V17" s="17" t="n">
        <v>1</v>
      </c>
      <c r="W17" s="17" t="n">
        <v>2</v>
      </c>
      <c r="X17" s="17" t="n">
        <v>1</v>
      </c>
      <c r="Y17" s="17" t="n">
        <v>7</v>
      </c>
      <c r="Z17" s="17" t="n">
        <v>0</v>
      </c>
      <c r="AA17" s="17" t="n">
        <v>0</v>
      </c>
      <c r="AB17" s="17" t="n">
        <v>1722</v>
      </c>
      <c r="AC17" s="19" t="inlineStr">
        <is>
          <t>5 / 0</t>
        </is>
      </c>
      <c r="AD17" s="19" t="inlineStr">
        <is>
          <t>0%</t>
        </is>
      </c>
      <c r="AE17" s="19" t="inlineStr">
        <is>
          <t>11 / 4</t>
        </is>
      </c>
      <c r="AF17" s="19" t="inlineStr">
        <is>
          <t>36%</t>
        </is>
      </c>
      <c r="AG17" s="19" t="inlineStr">
        <is>
          <t>-</t>
        </is>
      </c>
      <c r="AH17" s="19" t="inlineStr">
        <is>
          <t>-</t>
        </is>
      </c>
      <c r="AI17" s="19" t="inlineStr">
        <is>
          <t>1 / 1</t>
        </is>
      </c>
      <c r="AJ17" s="19" t="inlineStr">
        <is>
          <t>100%</t>
        </is>
      </c>
      <c r="AK17" s="19" t="inlineStr">
        <is>
          <t>-</t>
        </is>
      </c>
      <c r="AL17" s="19" t="inlineStr">
        <is>
          <t>-</t>
        </is>
      </c>
      <c r="AM17" s="19" t="inlineStr">
        <is>
          <t>-</t>
        </is>
      </c>
      <c r="AN17" s="19" t="inlineStr">
        <is>
          <t>-</t>
        </is>
      </c>
      <c r="AO17" s="19" t="inlineStr">
        <is>
          <t>-</t>
        </is>
      </c>
      <c r="AP17" s="19" t="inlineStr">
        <is>
          <t>-</t>
        </is>
      </c>
      <c r="AQ17" s="19" t="inlineStr">
        <is>
          <t>-</t>
        </is>
      </c>
      <c r="AR17" s="19" t="inlineStr">
        <is>
          <t>-</t>
        </is>
      </c>
      <c r="AS17" s="19" t="inlineStr">
        <is>
          <t>2 / 1</t>
        </is>
      </c>
      <c r="AT17" s="19" t="n">
        <v>50</v>
      </c>
      <c r="AU17" s="19" t="inlineStr">
        <is>
          <t>6 / 5</t>
        </is>
      </c>
      <c r="AV17" s="19" t="n">
        <v>83</v>
      </c>
      <c r="AW17" s="19" t="inlineStr">
        <is>
          <t>2 / 1</t>
        </is>
      </c>
      <c r="AX17" s="19" t="n">
        <v>50</v>
      </c>
      <c r="AY17" s="19" t="inlineStr">
        <is>
          <t>12 / 9</t>
        </is>
      </c>
      <c r="AZ17" s="19" t="n">
        <v>75</v>
      </c>
      <c r="BA17" s="19" t="inlineStr">
        <is>
          <t>1 / 0</t>
        </is>
      </c>
      <c r="BB17" s="19" t="n">
        <v>0</v>
      </c>
      <c r="BC17" s="19" t="inlineStr">
        <is>
          <t>1 / 0</t>
        </is>
      </c>
      <c r="BD17" s="19" t="n">
        <v>0</v>
      </c>
      <c r="BE17" s="19" t="inlineStr">
        <is>
          <t>3 / 0</t>
        </is>
      </c>
      <c r="BF17" s="19" t="n">
        <v>0</v>
      </c>
      <c r="BG17" s="19" t="inlineStr">
        <is>
          <t>1 / 0</t>
        </is>
      </c>
      <c r="BH17" s="19" t="n">
        <v>0</v>
      </c>
      <c r="BI17" s="19" t="n">
        <v>2</v>
      </c>
      <c r="BJ17" s="19" t="n">
        <v>1</v>
      </c>
      <c r="BK17" s="19" t="inlineStr">
        <is>
          <t>-</t>
        </is>
      </c>
      <c r="BL17" s="19" t="n">
        <v>1</v>
      </c>
      <c r="BM17" s="19" t="inlineStr">
        <is>
          <t>-</t>
        </is>
      </c>
      <c r="BN17" s="19" t="inlineStr">
        <is>
          <t>-</t>
        </is>
      </c>
    </row>
    <row r="18" ht="18" customHeight="1" s="21">
      <c r="A18" s="17" t="n">
        <v>13</v>
      </c>
      <c r="B18" s="18" t="inlineStr">
        <is>
          <t>S. Mathers</t>
        </is>
      </c>
      <c r="C18" s="19" t="inlineStr">
        <is>
          <t>Attacker</t>
        </is>
      </c>
      <c r="D18" s="17" t="n">
        <v>8</v>
      </c>
      <c r="E18" s="17" t="n">
        <v>768</v>
      </c>
      <c r="F18" s="17" t="n">
        <v>96</v>
      </c>
      <c r="G18" s="17" t="n">
        <v>1</v>
      </c>
      <c r="H18" s="17" t="n">
        <v>0.2</v>
      </c>
      <c r="I18" s="17" t="n">
        <v>2</v>
      </c>
      <c r="J18" s="17" t="n">
        <v>1.34</v>
      </c>
      <c r="K18" s="19" t="inlineStr">
        <is>
          <t>9/3</t>
        </is>
      </c>
      <c r="L18" s="19" t="n">
        <v>33</v>
      </c>
      <c r="M18" s="19" t="inlineStr">
        <is>
          <t>399/306</t>
        </is>
      </c>
      <c r="N18" s="19" t="n">
        <v>77</v>
      </c>
      <c r="O18" s="19" t="inlineStr">
        <is>
          <t>6/2</t>
        </is>
      </c>
      <c r="P18" s="19" t="n">
        <v>33</v>
      </c>
      <c r="Q18" s="19" t="inlineStr">
        <is>
          <t>11/6</t>
        </is>
      </c>
      <c r="R18" s="19" t="n">
        <v>55</v>
      </c>
      <c r="S18" s="19" t="inlineStr">
        <is>
          <t>132/68</t>
        </is>
      </c>
      <c r="T18" s="19" t="n">
        <v>52</v>
      </c>
      <c r="U18" s="17" t="n">
        <v>124</v>
      </c>
      <c r="V18" s="17" t="n">
        <v>43</v>
      </c>
      <c r="W18" s="17" t="n">
        <v>95</v>
      </c>
      <c r="X18" s="17" t="n">
        <v>51</v>
      </c>
      <c r="Y18" s="17" t="n">
        <v>5</v>
      </c>
      <c r="Z18" s="17" t="n">
        <v>1</v>
      </c>
      <c r="AA18" s="17" t="n">
        <v>0</v>
      </c>
      <c r="AB18" s="17" t="n">
        <v>1611</v>
      </c>
      <c r="AC18" s="19" t="inlineStr">
        <is>
          <t>64 / 45</t>
        </is>
      </c>
      <c r="AD18" s="19" t="inlineStr">
        <is>
          <t>70%</t>
        </is>
      </c>
      <c r="AE18" s="19" t="inlineStr">
        <is>
          <t>41 / 11</t>
        </is>
      </c>
      <c r="AF18" s="19" t="inlineStr">
        <is>
          <t>27%</t>
        </is>
      </c>
      <c r="AG18" s="19" t="inlineStr">
        <is>
          <t>16 / 10</t>
        </is>
      </c>
      <c r="AH18" s="19" t="inlineStr">
        <is>
          <t>63%</t>
        </is>
      </c>
      <c r="AI18" s="19" t="inlineStr">
        <is>
          <t>11 / 2</t>
        </is>
      </c>
      <c r="AJ18" s="19" t="inlineStr">
        <is>
          <t>18%</t>
        </is>
      </c>
      <c r="AK18" s="19" t="inlineStr">
        <is>
          <t>-</t>
        </is>
      </c>
      <c r="AL18" s="19" t="inlineStr">
        <is>
          <t>45 / 12</t>
        </is>
      </c>
      <c r="AM18" s="19" t="inlineStr">
        <is>
          <t>-</t>
        </is>
      </c>
      <c r="AN18" s="19" t="inlineStr">
        <is>
          <t>5 / 0</t>
        </is>
      </c>
      <c r="AO18" s="19" t="n">
        <v>2</v>
      </c>
      <c r="AP18" s="19" t="inlineStr">
        <is>
          <t>-</t>
        </is>
      </c>
      <c r="AQ18" s="19" t="inlineStr">
        <is>
          <t>26</t>
        </is>
      </c>
      <c r="AR18" s="19" t="n">
        <v>13</v>
      </c>
      <c r="AS18" s="19" t="inlineStr">
        <is>
          <t>159 / 97</t>
        </is>
      </c>
      <c r="AT18" s="19" t="n">
        <v>61</v>
      </c>
      <c r="AU18" s="19" t="inlineStr">
        <is>
          <t>82 / 79</t>
        </is>
      </c>
      <c r="AV18" s="19" t="n">
        <v>96</v>
      </c>
      <c r="AW18" s="19" t="inlineStr">
        <is>
          <t>106 / 93</t>
        </is>
      </c>
      <c r="AX18" s="19" t="n">
        <v>88</v>
      </c>
      <c r="AY18" s="19" t="inlineStr">
        <is>
          <t>354 / 287</t>
        </is>
      </c>
      <c r="AZ18" s="19" t="n">
        <v>81</v>
      </c>
      <c r="BA18" s="19" t="inlineStr">
        <is>
          <t>39 / 17</t>
        </is>
      </c>
      <c r="BB18" s="19" t="n">
        <v>44</v>
      </c>
      <c r="BC18" s="19" t="inlineStr">
        <is>
          <t>81 / 51</t>
        </is>
      </c>
      <c r="BD18" s="19" t="n">
        <v>63</v>
      </c>
      <c r="BE18" s="19" t="inlineStr">
        <is>
          <t>77 / 48</t>
        </is>
      </c>
      <c r="BF18" s="19" t="n">
        <v>62</v>
      </c>
      <c r="BG18" s="19" t="inlineStr">
        <is>
          <t>2 / 1</t>
        </is>
      </c>
      <c r="BH18" s="19" t="n">
        <v>50</v>
      </c>
      <c r="BI18" s="19" t="n">
        <v>2</v>
      </c>
      <c r="BJ18" s="19" t="n">
        <v>1</v>
      </c>
      <c r="BK18" s="19" t="inlineStr">
        <is>
          <t>-</t>
        </is>
      </c>
      <c r="BL18" s="19" t="n">
        <v>12</v>
      </c>
      <c r="BM18" s="19" t="inlineStr">
        <is>
          <t>-</t>
        </is>
      </c>
      <c r="BN18" s="19" t="inlineStr">
        <is>
          <t>-</t>
        </is>
      </c>
    </row>
    <row r="19" ht="18" customHeight="1" s="21">
      <c r="A19" s="17" t="n">
        <v>15</v>
      </c>
      <c r="B19" s="18" t="inlineStr">
        <is>
          <t>J. Flannery</t>
        </is>
      </c>
      <c r="C19" s="19" t="inlineStr">
        <is>
          <t>Attacker</t>
        </is>
      </c>
      <c r="D19" s="17" t="n">
        <v>10</v>
      </c>
      <c r="E19" s="17" t="n">
        <v>888</v>
      </c>
      <c r="F19" s="17" t="n">
        <v>89</v>
      </c>
      <c r="G19" s="17" t="n">
        <v>8</v>
      </c>
      <c r="H19" s="17" t="n">
        <v>4.26</v>
      </c>
      <c r="I19" s="17" t="n">
        <v>2</v>
      </c>
      <c r="J19" s="17" t="n">
        <v>1.92</v>
      </c>
      <c r="K19" s="19" t="inlineStr">
        <is>
          <t>40/19</t>
        </is>
      </c>
      <c r="L19" s="19" t="n">
        <v>48</v>
      </c>
      <c r="M19" s="19" t="inlineStr">
        <is>
          <t>422/273</t>
        </is>
      </c>
      <c r="N19" s="19" t="n">
        <v>65</v>
      </c>
      <c r="O19" s="19" t="inlineStr">
        <is>
          <t>56/16</t>
        </is>
      </c>
      <c r="P19" s="19" t="n">
        <v>29</v>
      </c>
      <c r="Q19" s="19" t="inlineStr">
        <is>
          <t>61/33</t>
        </is>
      </c>
      <c r="R19" s="19" t="n">
        <v>54</v>
      </c>
      <c r="S19" s="19" t="inlineStr">
        <is>
          <t>240/106</t>
        </is>
      </c>
      <c r="T19" s="19" t="n">
        <v>44</v>
      </c>
      <c r="U19" s="17" t="n">
        <v>197</v>
      </c>
      <c r="V19" s="17" t="n">
        <v>32</v>
      </c>
      <c r="W19" s="17" t="n">
        <v>71</v>
      </c>
      <c r="X19" s="17" t="n">
        <v>47</v>
      </c>
      <c r="Y19" s="17" t="n">
        <v>41</v>
      </c>
      <c r="Z19" s="17" t="n">
        <v>0</v>
      </c>
      <c r="AA19" s="17" t="n">
        <v>0</v>
      </c>
      <c r="AB19" s="17" t="n">
        <v>1698</v>
      </c>
      <c r="AC19" s="19" t="inlineStr">
        <is>
          <t>46 / 35</t>
        </is>
      </c>
      <c r="AD19" s="19" t="inlineStr">
        <is>
          <t>76%</t>
        </is>
      </c>
      <c r="AE19" s="19" t="inlineStr">
        <is>
          <t>146 / 52</t>
        </is>
      </c>
      <c r="AF19" s="19" t="inlineStr">
        <is>
          <t>36%</t>
        </is>
      </c>
      <c r="AG19" s="19" t="inlineStr">
        <is>
          <t>18 / 7</t>
        </is>
      </c>
      <c r="AH19" s="19" t="inlineStr">
        <is>
          <t>39%</t>
        </is>
      </c>
      <c r="AI19" s="19" t="inlineStr">
        <is>
          <t>30 / 12</t>
        </is>
      </c>
      <c r="AJ19" s="19" t="inlineStr">
        <is>
          <t>40%</t>
        </is>
      </c>
      <c r="AK19" s="19" t="inlineStr">
        <is>
          <t>-</t>
        </is>
      </c>
      <c r="AL19" s="19" t="inlineStr">
        <is>
          <t>42 / 6</t>
        </is>
      </c>
      <c r="AM19" s="19" t="inlineStr">
        <is>
          <t>3 / 3</t>
        </is>
      </c>
      <c r="AN19" s="19" t="inlineStr">
        <is>
          <t>3 / 5</t>
        </is>
      </c>
      <c r="AO19" s="19" t="n">
        <v>3</v>
      </c>
      <c r="AP19" s="19" t="inlineStr">
        <is>
          <t>-</t>
        </is>
      </c>
      <c r="AQ19" s="19" t="inlineStr">
        <is>
          <t>25</t>
        </is>
      </c>
      <c r="AR19" s="19" t="n">
        <v>27</v>
      </c>
      <c r="AS19" s="19" t="inlineStr">
        <is>
          <t>112 / 59</t>
        </is>
      </c>
      <c r="AT19" s="19" t="n">
        <v>53</v>
      </c>
      <c r="AU19" s="19" t="inlineStr">
        <is>
          <t>97 / 87</t>
        </is>
      </c>
      <c r="AV19" s="19" t="n">
        <v>90</v>
      </c>
      <c r="AW19" s="19" t="inlineStr">
        <is>
          <t>146 / 84</t>
        </is>
      </c>
      <c r="AX19" s="19" t="n">
        <v>58</v>
      </c>
      <c r="AY19" s="19" t="inlineStr">
        <is>
          <t>321 / 236</t>
        </is>
      </c>
      <c r="AZ19" s="19" t="n">
        <v>74</v>
      </c>
      <c r="BA19" s="19" t="inlineStr">
        <is>
          <t>45 / 21</t>
        </is>
      </c>
      <c r="BB19" s="19" t="n">
        <v>47</v>
      </c>
      <c r="BC19" s="19" t="inlineStr">
        <is>
          <t>89 / 61</t>
        </is>
      </c>
      <c r="BD19" s="19" t="n">
        <v>69</v>
      </c>
      <c r="BE19" s="19" t="inlineStr">
        <is>
          <t>47 / 23</t>
        </is>
      </c>
      <c r="BF19" s="19" t="n">
        <v>49</v>
      </c>
      <c r="BG19" s="19" t="inlineStr">
        <is>
          <t>6 / 0</t>
        </is>
      </c>
      <c r="BH19" s="19" t="n">
        <v>0</v>
      </c>
      <c r="BI19" s="19" t="n">
        <v>15</v>
      </c>
      <c r="BJ19" s="19" t="n">
        <v>6</v>
      </c>
      <c r="BK19" s="19" t="inlineStr">
        <is>
          <t>-</t>
        </is>
      </c>
      <c r="BL19" s="19" t="n">
        <v>20</v>
      </c>
      <c r="BM19" s="19" t="inlineStr">
        <is>
          <t>-</t>
        </is>
      </c>
      <c r="BN19" s="19" t="inlineStr">
        <is>
          <t>-</t>
        </is>
      </c>
    </row>
    <row r="20" ht="18" customHeight="1" s="21">
      <c r="A20" s="17" t="n">
        <v>18</v>
      </c>
      <c r="B20" s="18" t="inlineStr">
        <is>
          <t>M. Mccready</t>
        </is>
      </c>
      <c r="C20" s="19" t="inlineStr">
        <is>
          <t>Attacker</t>
        </is>
      </c>
      <c r="D20" s="17" t="n">
        <v>9</v>
      </c>
      <c r="E20" s="17" t="n">
        <v>306</v>
      </c>
      <c r="F20" s="17" t="n">
        <v>34</v>
      </c>
      <c r="G20" s="17" t="n">
        <v>0</v>
      </c>
      <c r="H20" s="17" t="n">
        <v>0.03</v>
      </c>
      <c r="I20" s="17" t="n">
        <v>0</v>
      </c>
      <c r="J20" s="17" t="n">
        <v>0.07000000000000001</v>
      </c>
      <c r="K20" s="19" t="inlineStr">
        <is>
          <t>4/1</t>
        </is>
      </c>
      <c r="L20" s="19" t="n">
        <v>25</v>
      </c>
      <c r="M20" s="19" t="inlineStr">
        <is>
          <t>120/85</t>
        </is>
      </c>
      <c r="N20" s="19" t="n">
        <v>71</v>
      </c>
      <c r="O20" s="19" t="inlineStr">
        <is>
          <t>4/1</t>
        </is>
      </c>
      <c r="P20" s="19" t="n">
        <v>25</v>
      </c>
      <c r="Q20" s="19" t="inlineStr">
        <is>
          <t>7/3</t>
        </is>
      </c>
      <c r="R20" s="19" t="n">
        <v>43</v>
      </c>
      <c r="S20" s="19" t="inlineStr">
        <is>
          <t>65/36</t>
        </is>
      </c>
      <c r="T20" s="19" t="n">
        <v>55</v>
      </c>
      <c r="U20" s="17" t="n">
        <v>46</v>
      </c>
      <c r="V20" s="17" t="n">
        <v>4</v>
      </c>
      <c r="W20" s="17" t="n">
        <v>26</v>
      </c>
      <c r="X20" s="17" t="n">
        <v>12</v>
      </c>
      <c r="Y20" s="17" t="n">
        <v>8</v>
      </c>
      <c r="Z20" s="17" t="n">
        <v>0</v>
      </c>
      <c r="AA20" s="17" t="n">
        <v>0</v>
      </c>
      <c r="AB20" s="17" t="n">
        <v>1809</v>
      </c>
      <c r="AC20" s="19" t="inlineStr">
        <is>
          <t>26 / 20</t>
        </is>
      </c>
      <c r="AD20" s="19" t="inlineStr">
        <is>
          <t>77%</t>
        </is>
      </c>
      <c r="AE20" s="19" t="inlineStr">
        <is>
          <t>28 / 11</t>
        </is>
      </c>
      <c r="AF20" s="19" t="inlineStr">
        <is>
          <t>39%</t>
        </is>
      </c>
      <c r="AG20" s="19" t="inlineStr">
        <is>
          <t>3 / 2</t>
        </is>
      </c>
      <c r="AH20" s="19" t="inlineStr">
        <is>
          <t>67%</t>
        </is>
      </c>
      <c r="AI20" s="19" t="inlineStr">
        <is>
          <t>8 / 3</t>
        </is>
      </c>
      <c r="AJ20" s="19" t="inlineStr">
        <is>
          <t>38%</t>
        </is>
      </c>
      <c r="AK20" s="19" t="n">
        <v>1</v>
      </c>
      <c r="AL20" s="19" t="inlineStr">
        <is>
          <t>9 / 1</t>
        </is>
      </c>
      <c r="AM20" s="19" t="inlineStr">
        <is>
          <t>-</t>
        </is>
      </c>
      <c r="AN20" s="19" t="inlineStr">
        <is>
          <t>1 / 2</t>
        </is>
      </c>
      <c r="AO20" s="19" t="inlineStr">
        <is>
          <t>-</t>
        </is>
      </c>
      <c r="AP20" s="19" t="inlineStr">
        <is>
          <t>-</t>
        </is>
      </c>
      <c r="AQ20" s="19" t="inlineStr">
        <is>
          <t>-</t>
        </is>
      </c>
      <c r="AR20" s="19" t="inlineStr">
        <is>
          <t>-</t>
        </is>
      </c>
      <c r="AS20" s="19" t="inlineStr">
        <is>
          <t>35 / 19</t>
        </is>
      </c>
      <c r="AT20" s="19" t="n">
        <v>54</v>
      </c>
      <c r="AU20" s="19" t="inlineStr">
        <is>
          <t>29 / 26</t>
        </is>
      </c>
      <c r="AV20" s="19" t="n">
        <v>90</v>
      </c>
      <c r="AW20" s="19" t="inlineStr">
        <is>
          <t>36 / 23</t>
        </is>
      </c>
      <c r="AX20" s="19" t="n">
        <v>64</v>
      </c>
      <c r="AY20" s="19" t="inlineStr">
        <is>
          <t>106 / 80</t>
        </is>
      </c>
      <c r="AZ20" s="19" t="n">
        <v>75</v>
      </c>
      <c r="BA20" s="19" t="inlineStr">
        <is>
          <t>10 / 4</t>
        </is>
      </c>
      <c r="BB20" s="19" t="n">
        <v>40</v>
      </c>
      <c r="BC20" s="19" t="inlineStr">
        <is>
          <t>15 / 14</t>
        </is>
      </c>
      <c r="BD20" s="19" t="n">
        <v>93</v>
      </c>
      <c r="BE20" s="19" t="inlineStr">
        <is>
          <t>17 / 7</t>
        </is>
      </c>
      <c r="BF20" s="19" t="n">
        <v>41</v>
      </c>
      <c r="BG20" s="19" t="inlineStr">
        <is>
          <t>2 / 0</t>
        </is>
      </c>
      <c r="BH20" s="19" t="n">
        <v>0</v>
      </c>
      <c r="BI20" s="19" t="n">
        <v>4</v>
      </c>
      <c r="BJ20" s="19" t="n">
        <v>2</v>
      </c>
      <c r="BK20" s="19" t="inlineStr">
        <is>
          <t>-</t>
        </is>
      </c>
      <c r="BL20" s="19" t="n">
        <v>4</v>
      </c>
      <c r="BM20" s="19" t="inlineStr">
        <is>
          <t>-</t>
        </is>
      </c>
      <c r="BN20" s="19" t="inlineStr">
        <is>
          <t>-</t>
        </is>
      </c>
    </row>
    <row r="21" ht="18" customHeight="1" s="21">
      <c r="A21" s="17" t="n">
        <v>44</v>
      </c>
      <c r="B21" s="18" t="inlineStr">
        <is>
          <t>L. Continibali</t>
        </is>
      </c>
      <c r="C21" s="19" t="inlineStr">
        <is>
          <t>Attacker</t>
        </is>
      </c>
      <c r="D21" s="17" t="n">
        <v>2</v>
      </c>
      <c r="E21" s="17" t="n">
        <v>32</v>
      </c>
      <c r="F21" s="17" t="n">
        <v>16</v>
      </c>
      <c r="G21" s="17" t="n">
        <v>0</v>
      </c>
      <c r="H21" s="17" t="n">
        <v>0.17</v>
      </c>
      <c r="I21" s="17" t="n">
        <v>0</v>
      </c>
      <c r="J21" s="17" t="n">
        <v>0</v>
      </c>
      <c r="K21" s="19" t="inlineStr">
        <is>
          <t>1/0</t>
        </is>
      </c>
      <c r="L21" s="19" t="n">
        <v>0</v>
      </c>
      <c r="M21" s="19" t="inlineStr">
        <is>
          <t>13/10</t>
        </is>
      </c>
      <c r="N21" s="19" t="n">
        <v>77</v>
      </c>
      <c r="O21" s="19" t="inlineStr">
        <is>
          <t>0/0</t>
        </is>
      </c>
      <c r="P21" s="19" t="n">
        <v>0</v>
      </c>
      <c r="Q21" s="19" t="inlineStr">
        <is>
          <t>0/0</t>
        </is>
      </c>
      <c r="R21" s="19" t="n">
        <v>0</v>
      </c>
      <c r="S21" s="19" t="inlineStr">
        <is>
          <t>3/1</t>
        </is>
      </c>
      <c r="T21" s="19" t="n">
        <v>33</v>
      </c>
      <c r="U21" s="17" t="n">
        <v>2</v>
      </c>
      <c r="V21" s="17" t="n">
        <v>0</v>
      </c>
      <c r="W21" s="17" t="n">
        <v>1</v>
      </c>
      <c r="X21" s="17" t="n">
        <v>0</v>
      </c>
      <c r="Y21" s="17" t="n">
        <v>1</v>
      </c>
      <c r="Z21" s="17" t="n">
        <v>0</v>
      </c>
      <c r="AA21" s="17" t="n">
        <v>0</v>
      </c>
      <c r="AB21" s="17" t="n">
        <v>1330</v>
      </c>
      <c r="AC21" s="19" t="inlineStr">
        <is>
          <t>2 / 1</t>
        </is>
      </c>
      <c r="AD21" s="19" t="inlineStr">
        <is>
          <t>50%</t>
        </is>
      </c>
      <c r="AE21" s="19" t="inlineStr">
        <is>
          <t>-</t>
        </is>
      </c>
      <c r="AF21" s="19" t="inlineStr">
        <is>
          <t>-</t>
        </is>
      </c>
      <c r="AG21" s="19" t="inlineStr">
        <is>
          <t>-</t>
        </is>
      </c>
      <c r="AH21" s="19" t="inlineStr">
        <is>
          <t>-</t>
        </is>
      </c>
      <c r="AI21" s="19" t="inlineStr">
        <is>
          <t>1 / 0</t>
        </is>
      </c>
      <c r="AJ21" s="19" t="inlineStr">
        <is>
          <t>0%</t>
        </is>
      </c>
      <c r="AK21" s="19" t="inlineStr">
        <is>
          <t>-</t>
        </is>
      </c>
      <c r="AL21" s="19" t="inlineStr">
        <is>
          <t>2 / 0</t>
        </is>
      </c>
      <c r="AM21" s="19" t="inlineStr">
        <is>
          <t>-</t>
        </is>
      </c>
      <c r="AN21" s="19" t="inlineStr">
        <is>
          <t>-</t>
        </is>
      </c>
      <c r="AO21" s="19" t="inlineStr">
        <is>
          <t>-</t>
        </is>
      </c>
      <c r="AP21" s="19" t="inlineStr">
        <is>
          <t>-</t>
        </is>
      </c>
      <c r="AQ21" s="19" t="inlineStr">
        <is>
          <t>-</t>
        </is>
      </c>
      <c r="AR21" s="19" t="inlineStr">
        <is>
          <t>-</t>
        </is>
      </c>
      <c r="AS21" s="19" t="inlineStr">
        <is>
          <t>4 / 2</t>
        </is>
      </c>
      <c r="AT21" s="19" t="n">
        <v>50</v>
      </c>
      <c r="AU21" s="19" t="inlineStr">
        <is>
          <t>3 / 3</t>
        </is>
      </c>
      <c r="AV21" s="19" t="n">
        <v>100</v>
      </c>
      <c r="AW21" s="19" t="inlineStr">
        <is>
          <t>2 / 2</t>
        </is>
      </c>
      <c r="AX21" s="19" t="n">
        <v>100</v>
      </c>
      <c r="AY21" s="19" t="inlineStr">
        <is>
          <t>12 / 10</t>
        </is>
      </c>
      <c r="AZ21" s="19" t="n">
        <v>83</v>
      </c>
      <c r="BA21" s="19" t="inlineStr">
        <is>
          <t>1 / 0</t>
        </is>
      </c>
      <c r="BB21" s="19" t="n">
        <v>0</v>
      </c>
      <c r="BC21" s="19" t="inlineStr">
        <is>
          <t>1 / 0</t>
        </is>
      </c>
      <c r="BD21" s="19" t="n">
        <v>0</v>
      </c>
      <c r="BE21" s="19" t="inlineStr">
        <is>
          <t>-</t>
        </is>
      </c>
      <c r="BF21" s="19" t="n">
        <v>0</v>
      </c>
      <c r="BG21" s="19" t="inlineStr">
        <is>
          <t>-</t>
        </is>
      </c>
      <c r="BH21" s="19" t="n">
        <v>0</v>
      </c>
      <c r="BI21" s="19" t="n">
        <v>0</v>
      </c>
      <c r="BJ21" s="19" t="n">
        <v>0</v>
      </c>
      <c r="BK21" s="19" t="inlineStr">
        <is>
          <t>-</t>
        </is>
      </c>
      <c r="BL21" s="19" t="n">
        <v>0</v>
      </c>
      <c r="BM21" s="19" t="inlineStr">
        <is>
          <t>-</t>
        </is>
      </c>
      <c r="BN21" s="19" t="inlineStr">
        <is>
          <t>-</t>
        </is>
      </c>
    </row>
  </sheetData>
  <mergeCells count="7">
    <mergeCell ref="B1:C1"/>
    <mergeCell ref="AC1:AR1"/>
    <mergeCell ref="BM1:BN1"/>
    <mergeCell ref="D1:J1"/>
    <mergeCell ref="K1:T1"/>
    <mergeCell ref="AS1:BL1"/>
    <mergeCell ref="U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10" defaultColWidth="8.83203125" defaultRowHeight="14"/>
  <cols>
    <col width="17.5" customWidth="1" style="21" min="2" max="2"/>
    <col width="25.1640625" customWidth="1" style="21" min="3" max="3"/>
  </cols>
  <sheetData>
    <row r="1">
      <c r="A1" s="32" t="inlineStr">
        <is>
          <t>Round</t>
        </is>
      </c>
      <c r="B1" s="32" t="inlineStr">
        <is>
          <t>Date</t>
        </is>
      </c>
      <c r="C1" s="32" t="inlineStr">
        <is>
          <t>Match</t>
        </is>
      </c>
      <c r="D1" s="32" t="inlineStr">
        <is>
          <t>Competition</t>
        </is>
      </c>
      <c r="E1" s="32" t="inlineStr">
        <is>
          <t>Duration</t>
        </is>
      </c>
      <c r="F1" s="32" t="inlineStr">
        <is>
          <t>Team</t>
        </is>
      </c>
      <c r="G1" s="32" t="inlineStr">
        <is>
          <t>Scheme</t>
        </is>
      </c>
      <c r="H1" s="32" t="inlineStr">
        <is>
          <t>Goals</t>
        </is>
      </c>
      <c r="I1" s="32" t="inlineStr">
        <is>
          <t>xG</t>
        </is>
      </c>
      <c r="J1" s="32" t="inlineStr">
        <is>
          <t>Shots</t>
        </is>
      </c>
      <c r="K1" s="32" t="inlineStr">
        <is>
          <t>Shots_on_target</t>
        </is>
      </c>
      <c r="L1" s="32" t="inlineStr">
        <is>
          <t>Shots_acc_pct</t>
        </is>
      </c>
      <c r="M1" s="32" t="inlineStr">
        <is>
          <t>Passes</t>
        </is>
      </c>
      <c r="N1" s="32" t="inlineStr">
        <is>
          <t>Passes_accurate</t>
        </is>
      </c>
      <c r="O1" s="32" t="inlineStr">
        <is>
          <t>Passes_acc_pct</t>
        </is>
      </c>
      <c r="P1" s="32" t="inlineStr">
        <is>
          <t>Possession_pct</t>
        </is>
      </c>
      <c r="Q1" s="32" t="inlineStr">
        <is>
          <t>Losses_total</t>
        </is>
      </c>
      <c r="R1" s="32" t="inlineStr">
        <is>
          <t>Losses_low</t>
        </is>
      </c>
      <c r="S1" s="32" t="inlineStr">
        <is>
          <t>Losses_medium</t>
        </is>
      </c>
      <c r="T1" s="32" t="inlineStr">
        <is>
          <t>Losses_high</t>
        </is>
      </c>
      <c r="U1" s="32" t="inlineStr">
        <is>
          <t>Recoveries_total</t>
        </is>
      </c>
      <c r="V1" s="32" t="inlineStr">
        <is>
          <t>Recoveries_low</t>
        </is>
      </c>
      <c r="W1" s="32" t="inlineStr">
        <is>
          <t>Recoveries_medium</t>
        </is>
      </c>
      <c r="X1" s="32" t="inlineStr">
        <is>
          <t>Recoveries_high</t>
        </is>
      </c>
      <c r="Y1" s="32" t="inlineStr">
        <is>
          <t>Duels_total</t>
        </is>
      </c>
      <c r="Z1" s="32" t="inlineStr">
        <is>
          <t>Duels_won</t>
        </is>
      </c>
      <c r="AA1" s="32" t="inlineStr">
        <is>
          <t>Duels_won_pct</t>
        </is>
      </c>
    </row>
    <row r="2">
      <c r="A2" t="n">
        <v>1</v>
      </c>
      <c r="B2" t="inlineStr">
        <is>
          <t>2026-03-20</t>
        </is>
      </c>
      <c r="C2" t="inlineStr">
        <is>
          <t>Perth - UWA Nedlands 6:0</t>
        </is>
      </c>
      <c r="D2" t="inlineStr">
        <is>
          <t>Australia. Western Australia NPL Women</t>
        </is>
      </c>
      <c r="E2" t="n">
        <v>95</v>
      </c>
      <c r="F2" t="inlineStr">
        <is>
          <t>Perth</t>
        </is>
      </c>
      <c r="G2" t="inlineStr">
        <is>
          <t>4-3-3 (100.0%)</t>
        </is>
      </c>
      <c r="H2" t="n">
        <v>6</v>
      </c>
      <c r="I2" t="n">
        <v>1.77</v>
      </c>
      <c r="J2" t="n">
        <v>20</v>
      </c>
      <c r="K2" t="n">
        <v>11</v>
      </c>
      <c r="L2" t="n">
        <v>55</v>
      </c>
      <c r="M2" t="n">
        <v>0</v>
      </c>
      <c r="N2" t="n">
        <v>0</v>
      </c>
      <c r="O2" t="n">
        <v>75.56</v>
      </c>
      <c r="P2" t="n">
        <v>62.41</v>
      </c>
      <c r="Q2" t="n">
        <v>132</v>
      </c>
      <c r="R2" t="n">
        <v>4</v>
      </c>
      <c r="S2" t="n">
        <v>27</v>
      </c>
      <c r="T2" t="n">
        <v>101</v>
      </c>
      <c r="U2" t="n">
        <v>95</v>
      </c>
      <c r="V2" t="n">
        <v>19</v>
      </c>
      <c r="W2" t="n">
        <v>44</v>
      </c>
      <c r="X2" t="n">
        <v>32</v>
      </c>
      <c r="Y2" t="n">
        <v>155</v>
      </c>
      <c r="Z2" t="n">
        <v>78</v>
      </c>
      <c r="AA2" t="n">
        <v>50.32</v>
      </c>
    </row>
    <row r="3">
      <c r="A3" t="n">
        <v>1</v>
      </c>
      <c r="B3" t="inlineStr">
        <is>
          <t>2026-03-20</t>
        </is>
      </c>
      <c r="C3" t="inlineStr">
        <is>
          <t>Perth - UWA Nedlands 6:0</t>
        </is>
      </c>
      <c r="D3" t="inlineStr">
        <is>
          <t>Australia. Western Australia NPL Women</t>
        </is>
      </c>
      <c r="E3" t="n">
        <v>95</v>
      </c>
      <c r="F3" t="inlineStr">
        <is>
          <t>UWA Nedlands</t>
        </is>
      </c>
      <c r="G3" t="inlineStr">
        <is>
          <t>3-5-2 (100.0%)</t>
        </is>
      </c>
      <c r="H3" t="n">
        <v>0</v>
      </c>
      <c r="I3" t="n">
        <v>0.1</v>
      </c>
      <c r="J3" t="n">
        <v>4</v>
      </c>
      <c r="K3" t="n">
        <v>2</v>
      </c>
      <c r="L3" t="n">
        <v>50</v>
      </c>
      <c r="M3" t="n">
        <v>0</v>
      </c>
      <c r="N3" t="n">
        <v>0</v>
      </c>
      <c r="O3" t="n">
        <v>55.3</v>
      </c>
      <c r="P3" t="n">
        <v>37.59</v>
      </c>
      <c r="Q3" t="n">
        <v>126</v>
      </c>
      <c r="R3" t="n">
        <v>43</v>
      </c>
      <c r="S3" t="n">
        <v>62</v>
      </c>
      <c r="T3" t="n">
        <v>21</v>
      </c>
      <c r="U3" t="n">
        <v>80</v>
      </c>
      <c r="V3" t="n">
        <v>48</v>
      </c>
      <c r="W3" t="n">
        <v>31</v>
      </c>
      <c r="X3" t="n">
        <v>1</v>
      </c>
      <c r="Y3" t="n">
        <v>155</v>
      </c>
      <c r="Z3" t="n">
        <v>74</v>
      </c>
      <c r="AA3" t="n">
        <v>47.74</v>
      </c>
    </row>
    <row r="4">
      <c r="A4" t="n">
        <v>2</v>
      </c>
      <c r="B4" t="inlineStr">
        <is>
          <t>2026-03-29</t>
        </is>
      </c>
      <c r="C4" t="inlineStr">
        <is>
          <t>Perth - Subiaco 2:0</t>
        </is>
      </c>
      <c r="D4" t="inlineStr">
        <is>
          <t>Australia. Western Australia NPL Women</t>
        </is>
      </c>
      <c r="E4" t="n">
        <v>96</v>
      </c>
      <c r="F4" t="inlineStr">
        <is>
          <t>Perth</t>
        </is>
      </c>
      <c r="G4" t="inlineStr">
        <is>
          <t>4-2-3-1 (100.0%)</t>
        </is>
      </c>
      <c r="H4" t="n">
        <v>2</v>
      </c>
      <c r="I4" t="n">
        <v>1.74</v>
      </c>
      <c r="J4" t="n">
        <v>18</v>
      </c>
      <c r="K4" t="n">
        <v>8</v>
      </c>
      <c r="L4" t="n">
        <v>44.44</v>
      </c>
      <c r="M4" t="n">
        <v>0</v>
      </c>
      <c r="N4" t="n">
        <v>0</v>
      </c>
      <c r="O4" t="n">
        <v>60.33</v>
      </c>
      <c r="P4" t="n">
        <v>50.98</v>
      </c>
      <c r="Q4" t="n">
        <v>167</v>
      </c>
      <c r="R4" t="n">
        <v>38</v>
      </c>
      <c r="S4" t="n">
        <v>51</v>
      </c>
      <c r="T4" t="n">
        <v>78</v>
      </c>
      <c r="U4" t="n">
        <v>106</v>
      </c>
      <c r="V4" t="n">
        <v>51</v>
      </c>
      <c r="W4" t="n">
        <v>44</v>
      </c>
      <c r="X4" t="n">
        <v>11</v>
      </c>
      <c r="Y4" t="n">
        <v>170</v>
      </c>
      <c r="Z4" t="n">
        <v>81</v>
      </c>
      <c r="AA4" t="n">
        <v>47.65</v>
      </c>
    </row>
    <row r="5">
      <c r="A5" t="n">
        <v>2</v>
      </c>
      <c r="B5" t="inlineStr">
        <is>
          <t>2026-03-29</t>
        </is>
      </c>
      <c r="C5" t="inlineStr">
        <is>
          <t>Perth - Subiaco 2:0</t>
        </is>
      </c>
      <c r="D5" t="inlineStr">
        <is>
          <t>Australia. Western Australia NPL Women</t>
        </is>
      </c>
      <c r="E5" t="n">
        <v>96</v>
      </c>
      <c r="F5" t="inlineStr">
        <is>
          <t>Subiaco</t>
        </is>
      </c>
      <c r="G5" t="inlineStr">
        <is>
          <t>4-4-2 (49.52%)</t>
        </is>
      </c>
      <c r="H5" t="n">
        <v>0</v>
      </c>
      <c r="I5" t="n">
        <v>1.31</v>
      </c>
      <c r="J5" t="n">
        <v>15</v>
      </c>
      <c r="K5" t="n">
        <v>3</v>
      </c>
      <c r="L5" t="n">
        <v>20</v>
      </c>
      <c r="M5" t="n">
        <v>0</v>
      </c>
      <c r="N5" t="n">
        <v>0</v>
      </c>
      <c r="O5" t="n">
        <v>60</v>
      </c>
      <c r="P5" t="n">
        <v>49.02</v>
      </c>
      <c r="Q5" t="n">
        <v>154</v>
      </c>
      <c r="R5" t="n">
        <v>21</v>
      </c>
      <c r="S5" t="n">
        <v>68</v>
      </c>
      <c r="T5" t="n">
        <v>65</v>
      </c>
      <c r="U5" t="n">
        <v>94</v>
      </c>
      <c r="V5" t="n">
        <v>46</v>
      </c>
      <c r="W5" t="n">
        <v>26</v>
      </c>
      <c r="X5" t="n">
        <v>22</v>
      </c>
      <c r="Y5" t="n">
        <v>170</v>
      </c>
      <c r="Z5" t="n">
        <v>88</v>
      </c>
      <c r="AA5" t="n">
        <v>51.76</v>
      </c>
    </row>
    <row r="6">
      <c r="A6" t="n">
        <v>3</v>
      </c>
      <c r="B6" t="inlineStr">
        <is>
          <t>2026-04-06</t>
        </is>
      </c>
      <c r="C6" t="inlineStr">
        <is>
          <t>Sorrento - Perth 0:2</t>
        </is>
      </c>
      <c r="D6" t="inlineStr">
        <is>
          <t>Australia. Western Australia NPL Women</t>
        </is>
      </c>
      <c r="E6" t="n">
        <v>94</v>
      </c>
      <c r="F6" t="inlineStr">
        <is>
          <t>Perth</t>
        </is>
      </c>
      <c r="G6" t="inlineStr">
        <is>
          <t>4-1-4-1 (100.0%)</t>
        </is>
      </c>
      <c r="H6" t="n">
        <v>2</v>
      </c>
      <c r="I6" t="n">
        <v>1.84</v>
      </c>
      <c r="J6" t="n">
        <v>30</v>
      </c>
      <c r="K6" t="n">
        <v>8</v>
      </c>
      <c r="L6" t="n">
        <v>26.67</v>
      </c>
      <c r="M6" t="n">
        <v>0</v>
      </c>
      <c r="N6" t="n">
        <v>0</v>
      </c>
      <c r="O6" t="n">
        <v>72.73</v>
      </c>
      <c r="P6" t="n">
        <v>59.94</v>
      </c>
      <c r="Q6" t="n">
        <v>112</v>
      </c>
      <c r="R6" t="n">
        <v>10</v>
      </c>
      <c r="S6" t="n">
        <v>35</v>
      </c>
      <c r="T6" t="n">
        <v>67</v>
      </c>
      <c r="U6" t="n">
        <v>100</v>
      </c>
      <c r="V6" t="n">
        <v>19</v>
      </c>
      <c r="W6" t="n">
        <v>54</v>
      </c>
      <c r="X6" t="n">
        <v>27</v>
      </c>
      <c r="Y6" t="n">
        <v>198</v>
      </c>
      <c r="Z6" t="n">
        <v>121</v>
      </c>
      <c r="AA6" t="n">
        <v>61.11</v>
      </c>
    </row>
    <row r="7">
      <c r="A7" t="n">
        <v>3</v>
      </c>
      <c r="B7" t="inlineStr">
        <is>
          <t>2026-04-06</t>
        </is>
      </c>
      <c r="C7" t="inlineStr">
        <is>
          <t>Sorrento - Perth 0:2</t>
        </is>
      </c>
      <c r="D7" t="inlineStr">
        <is>
          <t>Australia. Western Australia NPL Women</t>
        </is>
      </c>
      <c r="E7" t="n">
        <v>94</v>
      </c>
      <c r="F7" t="inlineStr">
        <is>
          <t>Sorrento</t>
        </is>
      </c>
      <c r="G7" t="inlineStr">
        <is>
          <t>4-5-1 (100.0%)</t>
        </is>
      </c>
      <c r="H7" t="n">
        <v>0</v>
      </c>
      <c r="I7" t="n">
        <v>0.4</v>
      </c>
      <c r="J7" t="n">
        <v>7</v>
      </c>
      <c r="K7" t="n">
        <v>2</v>
      </c>
      <c r="L7" t="n">
        <v>28.57</v>
      </c>
      <c r="M7" t="n">
        <v>0</v>
      </c>
      <c r="N7" t="n">
        <v>0</v>
      </c>
      <c r="O7" t="n">
        <v>61.44</v>
      </c>
      <c r="P7" t="n">
        <v>40.06</v>
      </c>
      <c r="Q7" t="n">
        <v>134</v>
      </c>
      <c r="R7" t="n">
        <v>38</v>
      </c>
      <c r="S7" t="n">
        <v>68</v>
      </c>
      <c r="T7" t="n">
        <v>28</v>
      </c>
      <c r="U7" t="n">
        <v>72</v>
      </c>
      <c r="V7" t="n">
        <v>44</v>
      </c>
      <c r="W7" t="n">
        <v>20</v>
      </c>
      <c r="X7" t="n">
        <v>8</v>
      </c>
      <c r="Y7" t="n">
        <v>198</v>
      </c>
      <c r="Z7" t="n">
        <v>74</v>
      </c>
      <c r="AA7" t="n">
        <v>37.37</v>
      </c>
    </row>
    <row r="8">
      <c r="A8" t="n">
        <v>4</v>
      </c>
      <c r="B8" t="inlineStr">
        <is>
          <t>2026-04-10</t>
        </is>
      </c>
      <c r="C8" t="inlineStr">
        <is>
          <t>Perth - Fremantle City 0:0</t>
        </is>
      </c>
      <c r="D8" t="inlineStr">
        <is>
          <t>Australia. Western Australia NPL Women</t>
        </is>
      </c>
      <c r="E8" t="n">
        <v>95</v>
      </c>
      <c r="F8" t="inlineStr">
        <is>
          <t>Fremantle City</t>
        </is>
      </c>
      <c r="G8" t="inlineStr">
        <is>
          <t>4-2-3-1 (100.0%)</t>
        </is>
      </c>
      <c r="H8" t="n">
        <v>0</v>
      </c>
      <c r="I8" t="n">
        <v>0.39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65.84999999999999</v>
      </c>
      <c r="P8" t="n">
        <v>48.08</v>
      </c>
      <c r="Q8" t="n">
        <v>144</v>
      </c>
      <c r="R8" t="n">
        <v>26</v>
      </c>
      <c r="S8" t="n">
        <v>35</v>
      </c>
      <c r="T8" t="n">
        <v>83</v>
      </c>
      <c r="U8" t="n">
        <v>79</v>
      </c>
      <c r="V8" t="n">
        <v>36</v>
      </c>
      <c r="W8" t="n">
        <v>38</v>
      </c>
      <c r="X8" t="n">
        <v>5</v>
      </c>
      <c r="Y8" t="n">
        <v>173</v>
      </c>
      <c r="Z8" t="n">
        <v>81</v>
      </c>
      <c r="AA8" t="n">
        <v>46.82</v>
      </c>
    </row>
    <row r="9">
      <c r="A9" t="n">
        <v>4</v>
      </c>
      <c r="B9" t="inlineStr">
        <is>
          <t>2026-04-10</t>
        </is>
      </c>
      <c r="C9" t="inlineStr">
        <is>
          <t>Perth - Fremantle City 0:0</t>
        </is>
      </c>
      <c r="D9" t="inlineStr">
        <is>
          <t>Australia. Western Australia NPL Women</t>
        </is>
      </c>
      <c r="E9" t="n">
        <v>95</v>
      </c>
      <c r="F9" t="inlineStr">
        <is>
          <t>Perth</t>
        </is>
      </c>
      <c r="G9" t="inlineStr">
        <is>
          <t>4-2-3-1 (48.4%)</t>
        </is>
      </c>
      <c r="H9" t="n">
        <v>0</v>
      </c>
      <c r="I9" t="n">
        <v>0.53</v>
      </c>
      <c r="J9" t="n">
        <v>10</v>
      </c>
      <c r="K9" t="n">
        <v>3</v>
      </c>
      <c r="L9" t="n">
        <v>30</v>
      </c>
      <c r="M9" t="n">
        <v>0</v>
      </c>
      <c r="N9" t="n">
        <v>0</v>
      </c>
      <c r="O9" t="n">
        <v>64.53</v>
      </c>
      <c r="P9" t="n">
        <v>51.92</v>
      </c>
      <c r="Q9" t="n">
        <v>128</v>
      </c>
      <c r="R9" t="n">
        <v>18</v>
      </c>
      <c r="S9" t="n">
        <v>53</v>
      </c>
      <c r="T9" t="n">
        <v>57</v>
      </c>
      <c r="U9" t="n">
        <v>97</v>
      </c>
      <c r="V9" t="n">
        <v>54</v>
      </c>
      <c r="W9" t="n">
        <v>32</v>
      </c>
      <c r="X9" t="n">
        <v>11</v>
      </c>
      <c r="Y9" t="n">
        <v>173</v>
      </c>
      <c r="Z9" t="n">
        <v>87</v>
      </c>
      <c r="AA9" t="n">
        <v>50.29</v>
      </c>
    </row>
    <row r="10">
      <c r="A10" t="n">
        <v>5</v>
      </c>
      <c r="B10" t="inlineStr">
        <is>
          <t>2026-04-17</t>
        </is>
      </c>
      <c r="C10" t="inlineStr">
        <is>
          <t>Perth - Balcatta 0:0</t>
        </is>
      </c>
      <c r="D10" t="inlineStr">
        <is>
          <t>Australia. Western Australia NPL Women</t>
        </is>
      </c>
      <c r="E10" t="n">
        <v>99</v>
      </c>
      <c r="F10" t="inlineStr">
        <is>
          <t>Balcatta</t>
        </is>
      </c>
      <c r="G10" t="inlineStr">
        <is>
          <t>4-4-1-1 (100.0%)</t>
        </is>
      </c>
      <c r="H10" t="n">
        <v>0</v>
      </c>
      <c r="I10" t="n">
        <v>0.73</v>
      </c>
      <c r="J10" t="n">
        <v>10</v>
      </c>
      <c r="K10" t="n">
        <v>4</v>
      </c>
      <c r="L10" t="n">
        <v>40</v>
      </c>
      <c r="M10" t="n">
        <v>0</v>
      </c>
      <c r="N10" t="n">
        <v>0</v>
      </c>
      <c r="O10" t="n">
        <v>58.15</v>
      </c>
      <c r="P10" t="n">
        <v>60.08</v>
      </c>
      <c r="Q10" t="n">
        <v>162</v>
      </c>
      <c r="R10" t="n">
        <v>31</v>
      </c>
      <c r="S10" t="n">
        <v>52</v>
      </c>
      <c r="T10" t="n">
        <v>79</v>
      </c>
      <c r="U10" t="n">
        <v>104</v>
      </c>
      <c r="V10" t="n">
        <v>41</v>
      </c>
      <c r="W10" t="n">
        <v>53</v>
      </c>
      <c r="X10" t="n">
        <v>10</v>
      </c>
      <c r="Y10" t="n">
        <v>200</v>
      </c>
      <c r="Z10" t="n">
        <v>99</v>
      </c>
      <c r="AA10" t="n">
        <v>49.5</v>
      </c>
    </row>
    <row r="11">
      <c r="A11" t="n">
        <v>5</v>
      </c>
      <c r="B11" t="inlineStr">
        <is>
          <t>2026-04-17</t>
        </is>
      </c>
      <c r="C11" t="inlineStr">
        <is>
          <t>Perth - Balcatta 0:0</t>
        </is>
      </c>
      <c r="D11" t="inlineStr">
        <is>
          <t>Australia. Western Australia NPL Women</t>
        </is>
      </c>
      <c r="E11" t="n">
        <v>99</v>
      </c>
      <c r="F11" t="inlineStr">
        <is>
          <t>Perth</t>
        </is>
      </c>
      <c r="G11" t="inlineStr">
        <is>
          <t>4-1-4-1 (100.0%)</t>
        </is>
      </c>
      <c r="H11" t="n">
        <v>0</v>
      </c>
      <c r="I11" t="n">
        <v>1.24</v>
      </c>
      <c r="J11" t="n">
        <v>13</v>
      </c>
      <c r="K11" t="n">
        <v>4</v>
      </c>
      <c r="L11" t="n">
        <v>30.77</v>
      </c>
      <c r="M11" t="n">
        <v>0</v>
      </c>
      <c r="N11" t="n">
        <v>0</v>
      </c>
      <c r="O11" t="n">
        <v>59.67</v>
      </c>
      <c r="P11" t="n">
        <v>39.92</v>
      </c>
      <c r="Q11" t="n">
        <v>137</v>
      </c>
      <c r="R11" t="n">
        <v>17</v>
      </c>
      <c r="S11" t="n">
        <v>60</v>
      </c>
      <c r="T11" t="n">
        <v>60</v>
      </c>
      <c r="U11" t="n">
        <v>115</v>
      </c>
      <c r="V11" t="n">
        <v>55</v>
      </c>
      <c r="W11" t="n">
        <v>37</v>
      </c>
      <c r="X11" t="n">
        <v>23</v>
      </c>
      <c r="Y11" t="n">
        <v>200</v>
      </c>
      <c r="Z11" t="n">
        <v>98</v>
      </c>
      <c r="AA11" t="n">
        <v>49</v>
      </c>
    </row>
    <row r="12">
      <c r="A12" t="n">
        <v>6</v>
      </c>
      <c r="B12" t="inlineStr">
        <is>
          <t>2026-04-26</t>
        </is>
      </c>
      <c r="C12" t="inlineStr">
        <is>
          <t>UWA Nedlands - Perth 1:3</t>
        </is>
      </c>
      <c r="D12" t="inlineStr">
        <is>
          <t>Australia. Western Australia NPL Women</t>
        </is>
      </c>
      <c r="E12" t="n">
        <v>93</v>
      </c>
      <c r="F12" t="inlineStr">
        <is>
          <t>Perth</t>
        </is>
      </c>
      <c r="G12" t="inlineStr">
        <is>
          <t>4-3-3 (100.0%)</t>
        </is>
      </c>
      <c r="H12" t="n">
        <v>3</v>
      </c>
      <c r="I12" t="n">
        <v>1.68</v>
      </c>
      <c r="J12" t="n">
        <v>17</v>
      </c>
      <c r="K12" t="n">
        <v>8</v>
      </c>
      <c r="L12" t="n">
        <v>47.06</v>
      </c>
      <c r="M12" t="n">
        <v>0</v>
      </c>
      <c r="N12" t="n">
        <v>0</v>
      </c>
      <c r="O12" t="n">
        <v>59.06</v>
      </c>
      <c r="P12" t="n">
        <v>52</v>
      </c>
      <c r="Q12" t="n">
        <v>113</v>
      </c>
      <c r="R12" t="n">
        <v>10</v>
      </c>
      <c r="S12" t="n">
        <v>41</v>
      </c>
      <c r="T12" t="n">
        <v>62</v>
      </c>
      <c r="U12" t="n">
        <v>92</v>
      </c>
      <c r="V12" t="n">
        <v>29</v>
      </c>
      <c r="W12" t="n">
        <v>39</v>
      </c>
      <c r="X12" t="n">
        <v>24</v>
      </c>
      <c r="Y12" t="n">
        <v>203</v>
      </c>
      <c r="Z12" t="n">
        <v>106</v>
      </c>
      <c r="AA12" t="n">
        <v>52.22</v>
      </c>
    </row>
    <row r="13">
      <c r="A13" t="n">
        <v>6</v>
      </c>
      <c r="B13" t="inlineStr">
        <is>
          <t>2026-04-26</t>
        </is>
      </c>
      <c r="C13" t="inlineStr">
        <is>
          <t>UWA Nedlands - Perth 1:3</t>
        </is>
      </c>
      <c r="D13" t="inlineStr">
        <is>
          <t>Australia. Western Australia NPL Women</t>
        </is>
      </c>
      <c r="E13" t="n">
        <v>93</v>
      </c>
      <c r="F13" t="inlineStr">
        <is>
          <t>UWA Nedlands</t>
        </is>
      </c>
      <c r="G13" t="inlineStr">
        <is>
          <t>4-2-3-1 (100.0%)</t>
        </is>
      </c>
      <c r="H13" t="n">
        <v>1</v>
      </c>
      <c r="I13" t="n">
        <v>0.23</v>
      </c>
      <c r="J13" t="n">
        <v>4</v>
      </c>
      <c r="K13" t="n">
        <v>4</v>
      </c>
      <c r="L13" t="n">
        <v>100</v>
      </c>
      <c r="M13" t="n">
        <v>0</v>
      </c>
      <c r="N13" t="n">
        <v>0</v>
      </c>
      <c r="O13" t="n">
        <v>56.03</v>
      </c>
      <c r="P13" t="n">
        <v>48</v>
      </c>
      <c r="Q13" t="n">
        <v>150</v>
      </c>
      <c r="R13" t="n">
        <v>33</v>
      </c>
      <c r="S13" t="n">
        <v>67</v>
      </c>
      <c r="T13" t="n">
        <v>50</v>
      </c>
      <c r="U13" t="n">
        <v>75</v>
      </c>
      <c r="V13" t="n">
        <v>40</v>
      </c>
      <c r="W13" t="n">
        <v>31</v>
      </c>
      <c r="X13" t="n">
        <v>4</v>
      </c>
      <c r="Y13" t="n">
        <v>203</v>
      </c>
      <c r="Z13" t="n">
        <v>93</v>
      </c>
      <c r="AA13" t="n">
        <v>45.81</v>
      </c>
    </row>
    <row r="14">
      <c r="A14" t="n">
        <v>7</v>
      </c>
      <c r="B14" t="inlineStr">
        <is>
          <t>2026-05-02</t>
        </is>
      </c>
      <c r="C14" t="inlineStr">
        <is>
          <t>Perth - Perth RedStar 1:1</t>
        </is>
      </c>
      <c r="D14" t="inlineStr">
        <is>
          <t>Australia. Western Australia NPL Women</t>
        </is>
      </c>
      <c r="E14" t="n">
        <v>96</v>
      </c>
      <c r="F14" t="inlineStr">
        <is>
          <t>Perth</t>
        </is>
      </c>
      <c r="G14" t="inlineStr">
        <is>
          <t>4-1-4-1 (100.0%)</t>
        </is>
      </c>
      <c r="H14" t="n">
        <v>1</v>
      </c>
      <c r="I14" t="n">
        <v>1.38</v>
      </c>
      <c r="J14" t="n">
        <v>11</v>
      </c>
      <c r="K14" t="n">
        <v>6</v>
      </c>
      <c r="L14" t="n">
        <v>54.55</v>
      </c>
      <c r="M14" t="n">
        <v>0</v>
      </c>
      <c r="N14" t="n">
        <v>0</v>
      </c>
      <c r="O14" t="n">
        <v>65.22</v>
      </c>
      <c r="P14" t="n">
        <v>45.86</v>
      </c>
      <c r="Q14" t="n">
        <v>155</v>
      </c>
      <c r="R14" t="n">
        <v>19</v>
      </c>
      <c r="S14" t="n">
        <v>60</v>
      </c>
      <c r="T14" t="n">
        <v>76</v>
      </c>
      <c r="U14" t="n">
        <v>120</v>
      </c>
      <c r="V14" t="n">
        <v>47</v>
      </c>
      <c r="W14" t="n">
        <v>63</v>
      </c>
      <c r="X14" t="n">
        <v>10</v>
      </c>
      <c r="Y14" t="n">
        <v>259</v>
      </c>
      <c r="Z14" t="n">
        <v>141</v>
      </c>
      <c r="AA14" t="n">
        <v>54.44</v>
      </c>
    </row>
    <row r="15">
      <c r="A15" t="n">
        <v>7</v>
      </c>
      <c r="B15" t="inlineStr">
        <is>
          <t>2026-05-02</t>
        </is>
      </c>
      <c r="C15" t="inlineStr">
        <is>
          <t>Perth - Perth RedStar 1:1</t>
        </is>
      </c>
      <c r="D15" t="inlineStr">
        <is>
          <t>Australia. Western Australia NPL Women</t>
        </is>
      </c>
      <c r="E15" t="n">
        <v>96</v>
      </c>
      <c r="F15" t="inlineStr">
        <is>
          <t>Perth RedStar</t>
        </is>
      </c>
      <c r="G15" t="inlineStr">
        <is>
          <t>4-4-2 (100.0%)</t>
        </is>
      </c>
      <c r="H15" t="n">
        <v>1</v>
      </c>
      <c r="I15" t="n">
        <v>0.6</v>
      </c>
      <c r="J15" t="n">
        <v>6</v>
      </c>
      <c r="K15" t="n">
        <v>1</v>
      </c>
      <c r="L15" t="n">
        <v>16.67</v>
      </c>
      <c r="M15" t="n">
        <v>0</v>
      </c>
      <c r="N15" t="n">
        <v>0</v>
      </c>
      <c r="O15" t="n">
        <v>62.58</v>
      </c>
      <c r="P15" t="n">
        <v>54.14</v>
      </c>
      <c r="Q15" t="n">
        <v>157</v>
      </c>
      <c r="R15" t="n">
        <v>21</v>
      </c>
      <c r="S15" t="n">
        <v>68</v>
      </c>
      <c r="T15" t="n">
        <v>68</v>
      </c>
      <c r="U15" t="n">
        <v>105</v>
      </c>
      <c r="V15" t="n">
        <v>44</v>
      </c>
      <c r="W15" t="n">
        <v>46</v>
      </c>
      <c r="X15" t="n">
        <v>15</v>
      </c>
      <c r="Y15" t="n">
        <v>259</v>
      </c>
      <c r="Z15" t="n">
        <v>116</v>
      </c>
      <c r="AA15" t="n">
        <v>44.79</v>
      </c>
    </row>
    <row r="16">
      <c r="A16" t="n">
        <v>8</v>
      </c>
      <c r="B16" t="inlineStr">
        <is>
          <t>2026-05-16</t>
        </is>
      </c>
      <c r="C16" t="inlineStr">
        <is>
          <t>West NTC - Perth 0:1</t>
        </is>
      </c>
      <c r="D16" t="inlineStr">
        <is>
          <t>Australia. Western Australia NPL Women</t>
        </is>
      </c>
      <c r="E16" t="n">
        <v>93</v>
      </c>
      <c r="F16" t="inlineStr">
        <is>
          <t>Perth</t>
        </is>
      </c>
      <c r="G16" t="inlineStr">
        <is>
          <t>4-1-4-1 (100.0%)</t>
        </is>
      </c>
      <c r="H16" t="n">
        <v>1</v>
      </c>
      <c r="I16" t="n">
        <v>1</v>
      </c>
      <c r="J16" t="n">
        <v>12</v>
      </c>
      <c r="K16" t="n">
        <v>6</v>
      </c>
      <c r="L16" t="n">
        <v>50</v>
      </c>
      <c r="M16" t="n">
        <v>0</v>
      </c>
      <c r="N16" t="n">
        <v>0</v>
      </c>
      <c r="O16" t="n">
        <v>61.5</v>
      </c>
      <c r="P16" t="n">
        <v>64.13</v>
      </c>
      <c r="Q16" t="n">
        <v>176</v>
      </c>
      <c r="R16" t="n">
        <v>25</v>
      </c>
      <c r="S16" t="n">
        <v>63</v>
      </c>
      <c r="T16" t="n">
        <v>88</v>
      </c>
      <c r="U16" t="n">
        <v>121</v>
      </c>
      <c r="V16" t="n">
        <v>32</v>
      </c>
      <c r="W16" t="n">
        <v>63</v>
      </c>
      <c r="X16" t="n">
        <v>26</v>
      </c>
      <c r="Y16" t="n">
        <v>221</v>
      </c>
      <c r="Z16" t="n">
        <v>124</v>
      </c>
      <c r="AA16" t="n">
        <v>56.11</v>
      </c>
    </row>
    <row r="17">
      <c r="A17" t="n">
        <v>8</v>
      </c>
      <c r="B17" t="inlineStr">
        <is>
          <t>2026-05-16</t>
        </is>
      </c>
      <c r="C17" t="inlineStr">
        <is>
          <t>West NTC - Perth 0:1</t>
        </is>
      </c>
      <c r="D17" t="inlineStr">
        <is>
          <t>Australia. Western Australia NPL Women</t>
        </is>
      </c>
      <c r="E17" t="n">
        <v>93</v>
      </c>
      <c r="F17" t="inlineStr">
        <is>
          <t>West NTC</t>
        </is>
      </c>
      <c r="G17" t="inlineStr">
        <is>
          <t>4-4-2 (100.0%)</t>
        </is>
      </c>
      <c r="H17" t="n">
        <v>0</v>
      </c>
      <c r="I17" t="n">
        <v>0.38</v>
      </c>
      <c r="J17" t="n">
        <v>8</v>
      </c>
      <c r="K17" t="n">
        <v>4</v>
      </c>
      <c r="L17" t="n">
        <v>50</v>
      </c>
      <c r="M17" t="n">
        <v>0</v>
      </c>
      <c r="N17" t="n">
        <v>0</v>
      </c>
      <c r="O17" t="n">
        <v>45.11</v>
      </c>
      <c r="P17" t="n">
        <v>35.87</v>
      </c>
      <c r="Q17" t="n">
        <v>183</v>
      </c>
      <c r="R17" t="n">
        <v>34</v>
      </c>
      <c r="S17" t="n">
        <v>95</v>
      </c>
      <c r="T17" t="n">
        <v>54</v>
      </c>
      <c r="U17" t="n">
        <v>102</v>
      </c>
      <c r="V17" t="n">
        <v>50</v>
      </c>
      <c r="W17" t="n">
        <v>40</v>
      </c>
      <c r="X17" t="n">
        <v>12</v>
      </c>
      <c r="Y17" t="n">
        <v>221</v>
      </c>
      <c r="Z17" t="n">
        <v>93</v>
      </c>
      <c r="AA17" t="n">
        <v>42.08</v>
      </c>
    </row>
    <row r="18">
      <c r="A18" t="n">
        <v>9</v>
      </c>
      <c r="B18" t="inlineStr">
        <is>
          <t>2026-05-24</t>
        </is>
      </c>
      <c r="C18" t="inlineStr">
        <is>
          <t>Subiaco - Perth 0:5</t>
        </is>
      </c>
      <c r="D18" t="inlineStr">
        <is>
          <t>Australia. Western Australia NPL Women</t>
        </is>
      </c>
      <c r="E18" t="n">
        <v>95</v>
      </c>
      <c r="F18" t="inlineStr">
        <is>
          <t>Perth</t>
        </is>
      </c>
      <c r="G18" t="inlineStr">
        <is>
          <t>4-2-3-1 (100.0%)</t>
        </is>
      </c>
      <c r="H18" t="n">
        <v>5</v>
      </c>
      <c r="I18" t="n">
        <v>2.25</v>
      </c>
      <c r="J18" t="n">
        <v>16</v>
      </c>
      <c r="K18" t="n">
        <v>13</v>
      </c>
      <c r="L18" t="n">
        <v>81.25</v>
      </c>
      <c r="M18" t="n">
        <v>0</v>
      </c>
      <c r="N18" t="n">
        <v>0</v>
      </c>
      <c r="O18" t="n">
        <v>66.25</v>
      </c>
      <c r="P18" t="n">
        <v>55.9</v>
      </c>
      <c r="Q18" t="n">
        <v>137</v>
      </c>
      <c r="R18" t="n">
        <v>20</v>
      </c>
      <c r="S18" t="n">
        <v>48</v>
      </c>
      <c r="T18" t="n">
        <v>69</v>
      </c>
      <c r="U18" t="n">
        <v>105</v>
      </c>
      <c r="V18" t="n">
        <v>39</v>
      </c>
      <c r="W18" t="n">
        <v>44</v>
      </c>
      <c r="X18" t="n">
        <v>22</v>
      </c>
      <c r="Y18" t="n">
        <v>242</v>
      </c>
      <c r="Z18" t="n">
        <v>126</v>
      </c>
      <c r="AA18" t="n">
        <v>52.07</v>
      </c>
    </row>
    <row r="19">
      <c r="A19" t="n">
        <v>9</v>
      </c>
      <c r="B19" t="inlineStr">
        <is>
          <t>2026-05-24</t>
        </is>
      </c>
      <c r="C19" t="inlineStr">
        <is>
          <t>Subiaco - Perth 0:5</t>
        </is>
      </c>
      <c r="D19" t="inlineStr">
        <is>
          <t>Australia. Western Australia NPL Women</t>
        </is>
      </c>
      <c r="E19" t="n">
        <v>95</v>
      </c>
      <c r="F19" t="inlineStr">
        <is>
          <t>Subiaco</t>
        </is>
      </c>
      <c r="G19" t="inlineStr">
        <is>
          <t>4-3-3 (100.0%)</t>
        </is>
      </c>
      <c r="H19" t="n">
        <v>0</v>
      </c>
      <c r="I19" t="n">
        <v>0.13</v>
      </c>
      <c r="J19" t="n">
        <v>5</v>
      </c>
      <c r="K19" t="n">
        <v>1</v>
      </c>
      <c r="L19" t="n">
        <v>20</v>
      </c>
      <c r="M19" t="n">
        <v>0</v>
      </c>
      <c r="N19" t="n">
        <v>0</v>
      </c>
      <c r="O19" t="n">
        <v>50.69</v>
      </c>
      <c r="P19" t="n">
        <v>44.1</v>
      </c>
      <c r="Q19" t="n">
        <v>164</v>
      </c>
      <c r="R19" t="n">
        <v>39</v>
      </c>
      <c r="S19" t="n">
        <v>58</v>
      </c>
      <c r="T19" t="n">
        <v>67</v>
      </c>
      <c r="U19" t="n">
        <v>89</v>
      </c>
      <c r="V19" t="n">
        <v>41</v>
      </c>
      <c r="W19" t="n">
        <v>36</v>
      </c>
      <c r="X19" t="n">
        <v>12</v>
      </c>
      <c r="Y19" t="n">
        <v>242</v>
      </c>
      <c r="Z19" t="n">
        <v>107</v>
      </c>
      <c r="AA19" t="n">
        <v>44.21</v>
      </c>
    </row>
    <row r="20">
      <c r="A20" t="n">
        <v>10</v>
      </c>
      <c r="B20" t="inlineStr">
        <is>
          <t>2026-05-31</t>
        </is>
      </c>
      <c r="C20" t="inlineStr">
        <is>
          <t>Perth - Sorrento 3:0</t>
        </is>
      </c>
      <c r="D20" t="inlineStr">
        <is>
          <t>Australia. Western Australia NPL Women</t>
        </is>
      </c>
      <c r="E20" t="n">
        <v>94</v>
      </c>
      <c r="F20" t="inlineStr">
        <is>
          <t>Perth</t>
        </is>
      </c>
      <c r="G20" t="inlineStr">
        <is>
          <t>4-4-2 (100.0%)</t>
        </is>
      </c>
      <c r="H20" t="n">
        <v>3</v>
      </c>
      <c r="I20" t="n">
        <v>4.37</v>
      </c>
      <c r="J20" t="n">
        <v>31</v>
      </c>
      <c r="K20" t="n">
        <v>6</v>
      </c>
      <c r="L20" t="n">
        <v>19.35</v>
      </c>
      <c r="M20" t="n">
        <v>0</v>
      </c>
      <c r="N20" t="n">
        <v>0</v>
      </c>
      <c r="O20" t="n">
        <v>79.14</v>
      </c>
      <c r="P20" t="n">
        <v>62.54</v>
      </c>
      <c r="Q20" t="n">
        <v>108</v>
      </c>
      <c r="R20" t="n">
        <v>1</v>
      </c>
      <c r="S20" t="n">
        <v>13</v>
      </c>
      <c r="T20" t="n">
        <v>94</v>
      </c>
      <c r="U20" t="n">
        <v>91</v>
      </c>
      <c r="V20" t="n">
        <v>8</v>
      </c>
      <c r="W20" t="n">
        <v>38</v>
      </c>
      <c r="X20" t="n">
        <v>45</v>
      </c>
      <c r="Y20" t="n">
        <v>179</v>
      </c>
      <c r="Z20" t="n">
        <v>84</v>
      </c>
      <c r="AA20" t="n">
        <v>46.93</v>
      </c>
    </row>
    <row r="21">
      <c r="A21" t="n">
        <v>10</v>
      </c>
      <c r="B21" t="inlineStr">
        <is>
          <t>2026-05-31</t>
        </is>
      </c>
      <c r="C21" t="inlineStr">
        <is>
          <t>Perth - Sorrento 3:0</t>
        </is>
      </c>
      <c r="D21" t="inlineStr">
        <is>
          <t>Australia. Western Australia NPL Women</t>
        </is>
      </c>
      <c r="E21" t="n">
        <v>94</v>
      </c>
      <c r="F21" t="inlineStr">
        <is>
          <t>Sorrento</t>
        </is>
      </c>
      <c r="G21" t="inlineStr">
        <is>
          <t>4-5-1 (100.0%)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43.86</v>
      </c>
      <c r="P21" t="n">
        <v>37.46</v>
      </c>
      <c r="Q21" t="n">
        <v>140</v>
      </c>
      <c r="R21" t="n">
        <v>63</v>
      </c>
      <c r="S21" t="n">
        <v>61</v>
      </c>
      <c r="T21" t="n">
        <v>16</v>
      </c>
      <c r="U21" t="n">
        <v>75</v>
      </c>
      <c r="V21" t="n">
        <v>68</v>
      </c>
      <c r="W21" t="n">
        <v>6</v>
      </c>
      <c r="X21" t="n">
        <v>1</v>
      </c>
      <c r="Y21" t="n">
        <v>179</v>
      </c>
      <c r="Z21" t="n">
        <v>93</v>
      </c>
      <c r="AA21" t="n">
        <v>51.96</v>
      </c>
    </row>
    <row r="22">
      <c r="A22" t="n">
        <v>11</v>
      </c>
      <c r="B22" t="inlineStr">
        <is>
          <t>2026-06-14</t>
        </is>
      </c>
      <c r="C22" t="inlineStr">
        <is>
          <t>Perth - West NTC 3:0</t>
        </is>
      </c>
      <c r="D22" t="inlineStr">
        <is>
          <t>Australia. Western Australia NPL Women</t>
        </is>
      </c>
      <c r="E22" t="n">
        <v>95</v>
      </c>
      <c r="F22" t="inlineStr">
        <is>
          <t>Perth</t>
        </is>
      </c>
      <c r="G22" t="inlineStr">
        <is>
          <t>4-1-3-2 (71.18%)</t>
        </is>
      </c>
      <c r="H22" t="n">
        <v>3</v>
      </c>
      <c r="I22" t="n">
        <v>2.59</v>
      </c>
      <c r="J22" t="n">
        <v>23</v>
      </c>
      <c r="K22" t="n">
        <v>7</v>
      </c>
      <c r="L22" t="n">
        <v>30.43</v>
      </c>
      <c r="M22" t="n">
        <v>0</v>
      </c>
      <c r="N22" t="n">
        <v>0</v>
      </c>
      <c r="O22" t="n">
        <v>63</v>
      </c>
      <c r="P22" t="n">
        <v>59.08</v>
      </c>
      <c r="Q22" t="n">
        <v>160</v>
      </c>
      <c r="R22" t="n">
        <v>11</v>
      </c>
      <c r="S22" t="n">
        <v>53</v>
      </c>
      <c r="T22" t="n">
        <v>96</v>
      </c>
      <c r="U22" t="n">
        <v>106</v>
      </c>
      <c r="V22" t="n">
        <v>30</v>
      </c>
      <c r="W22" t="n">
        <v>54</v>
      </c>
      <c r="X22" t="n">
        <v>22</v>
      </c>
      <c r="Y22" t="n">
        <v>163</v>
      </c>
      <c r="Z22" t="n">
        <v>74</v>
      </c>
      <c r="AA22" t="n">
        <v>45.4</v>
      </c>
    </row>
    <row r="23">
      <c r="A23" t="n">
        <v>11</v>
      </c>
      <c r="B23" t="inlineStr">
        <is>
          <t>2026-06-14</t>
        </is>
      </c>
      <c r="C23" t="inlineStr">
        <is>
          <t>Perth - West NTC 3:0</t>
        </is>
      </c>
      <c r="D23" t="inlineStr">
        <is>
          <t>Australia. Western Australia NPL Women</t>
        </is>
      </c>
      <c r="E23" t="n">
        <v>95</v>
      </c>
      <c r="F23" t="inlineStr">
        <is>
          <t>West NTC</t>
        </is>
      </c>
      <c r="G23" t="inlineStr">
        <is>
          <t>4-4-2 (100.0%)</t>
        </is>
      </c>
      <c r="H23" t="n">
        <v>0</v>
      </c>
      <c r="I23" t="n">
        <v>0.5</v>
      </c>
      <c r="J23" t="n">
        <v>7</v>
      </c>
      <c r="K23" t="n">
        <v>2</v>
      </c>
      <c r="L23" t="n">
        <v>28.57</v>
      </c>
      <c r="M23" t="n">
        <v>0</v>
      </c>
      <c r="N23" t="n">
        <v>0</v>
      </c>
      <c r="O23" t="n">
        <v>57.63</v>
      </c>
      <c r="P23" t="n">
        <v>40.92</v>
      </c>
      <c r="Q23" t="n">
        <v>174</v>
      </c>
      <c r="R23" t="n">
        <v>47</v>
      </c>
      <c r="S23" t="n">
        <v>75</v>
      </c>
      <c r="T23" t="n">
        <v>52</v>
      </c>
      <c r="U23" t="n">
        <v>104</v>
      </c>
      <c r="V23" t="n">
        <v>56</v>
      </c>
      <c r="W23" t="n">
        <v>43</v>
      </c>
      <c r="X23" t="n">
        <v>5</v>
      </c>
      <c r="Y23" t="n">
        <v>163</v>
      </c>
      <c r="Z23" t="n">
        <v>87</v>
      </c>
      <c r="AA23" t="n">
        <v>53.37</v>
      </c>
    </row>
    <row r="24">
      <c r="A24" t="n">
        <v>12</v>
      </c>
      <c r="B24" t="inlineStr">
        <is>
          <t>2026-06-20</t>
        </is>
      </c>
      <c r="C24" t="inlineStr">
        <is>
          <t>Balcatta - Perth 0:1</t>
        </is>
      </c>
      <c r="D24" t="inlineStr">
        <is>
          <t>Australia. Western Australia NPL Women</t>
        </is>
      </c>
      <c r="E24" t="n">
        <v>91</v>
      </c>
      <c r="F24" t="inlineStr">
        <is>
          <t>Perth</t>
        </is>
      </c>
      <c r="G24" t="inlineStr">
        <is>
          <t>4-1-4-1 (100.0%)</t>
        </is>
      </c>
      <c r="H24" t="n">
        <v>1</v>
      </c>
      <c r="I24" t="n">
        <v>0.61</v>
      </c>
      <c r="J24" t="n">
        <v>13</v>
      </c>
      <c r="K24" t="n">
        <v>6</v>
      </c>
      <c r="L24" t="n">
        <v>46.15</v>
      </c>
      <c r="M24" t="n">
        <v>0</v>
      </c>
      <c r="N24" t="n">
        <v>0</v>
      </c>
      <c r="O24" t="n">
        <v>55.83</v>
      </c>
      <c r="P24" t="n">
        <v>44.57</v>
      </c>
      <c r="Q24" t="n">
        <v>136</v>
      </c>
      <c r="R24" t="n">
        <v>15</v>
      </c>
      <c r="S24" t="n">
        <v>47</v>
      </c>
      <c r="T24" t="n">
        <v>74</v>
      </c>
      <c r="U24" t="n">
        <v>99</v>
      </c>
      <c r="V24" t="n">
        <v>32</v>
      </c>
      <c r="W24" t="n">
        <v>44</v>
      </c>
      <c r="X24" t="n">
        <v>23</v>
      </c>
      <c r="Y24" t="n">
        <v>213</v>
      </c>
      <c r="Z24" t="n">
        <v>99</v>
      </c>
      <c r="AA24" t="n">
        <v>46.48</v>
      </c>
    </row>
    <row r="25">
      <c r="A25" t="n">
        <v>12</v>
      </c>
      <c r="B25" t="inlineStr">
        <is>
          <t>2026-06-20</t>
        </is>
      </c>
      <c r="C25" t="inlineStr">
        <is>
          <t>Balcatta - Perth 0:1</t>
        </is>
      </c>
      <c r="D25" t="inlineStr">
        <is>
          <t>Australia. Western Australia NPL Women</t>
        </is>
      </c>
      <c r="E25" t="n">
        <v>91</v>
      </c>
      <c r="F25" t="inlineStr">
        <is>
          <t>Balcatta</t>
        </is>
      </c>
      <c r="G25" t="inlineStr">
        <is>
          <t>4-2-3-1 (49.96%)</t>
        </is>
      </c>
      <c r="H25" t="n">
        <v>0</v>
      </c>
      <c r="I25" t="n">
        <v>0.89</v>
      </c>
      <c r="J25" t="n">
        <v>8</v>
      </c>
      <c r="K25" t="n">
        <v>4</v>
      </c>
      <c r="L25" t="n">
        <v>50</v>
      </c>
      <c r="M25" t="n">
        <v>0</v>
      </c>
      <c r="N25" t="n">
        <v>0</v>
      </c>
      <c r="O25" t="n">
        <v>58.68</v>
      </c>
      <c r="P25" t="n">
        <v>55.43</v>
      </c>
      <c r="Q25" t="n">
        <v>164</v>
      </c>
      <c r="R25" t="n">
        <v>37</v>
      </c>
      <c r="S25" t="n">
        <v>71</v>
      </c>
      <c r="T25" t="n">
        <v>56</v>
      </c>
      <c r="U25" t="n">
        <v>99</v>
      </c>
      <c r="V25" t="n">
        <v>48</v>
      </c>
      <c r="W25" t="n">
        <v>34</v>
      </c>
      <c r="X25" t="n">
        <v>17</v>
      </c>
      <c r="Y25" t="n">
        <v>213</v>
      </c>
      <c r="Z25" t="n">
        <v>109</v>
      </c>
      <c r="AA25" t="n">
        <v>51.17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2026-06-13T03:54:35Z</dcterms:created>
  <dcterms:modified xmlns:dcterms="http://purl.org/dc/terms/" xmlns:xsi="http://www.w3.org/2001/XMLSchema-instance" xsi:type="dcterms:W3CDTF">2026-06-24T14:55:29Z</dcterms:modified>
  <cp:lastModifiedBy>Thalita ziero</cp:lastModifiedBy>
  <cp:revision>0</cp:revision>
</cp:coreProperties>
</file>