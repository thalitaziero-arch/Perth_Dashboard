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0" autoFilterDateGrouping="1"/>
  </bookViews>
  <sheets>
    <sheet xmlns:r="http://schemas.openxmlformats.org/officeDocument/2006/relationships" name="TeamStats" sheetId="1" state="visible" r:id="rId1"/>
    <sheet xmlns:r="http://schemas.openxmlformats.org/officeDocument/2006/relationships" name="DashboardData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rial"/>
      <family val="1"/>
      <sz val="11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2" fontId="0" fillId="0" borderId="0" pivotButton="0" quotePrefix="0" xfId="0"/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C50"/>
  <sheetViews>
    <sheetView tabSelected="1" showOutlineSymbols="0" showWhiteSpace="0" workbookViewId="0">
      <selection activeCell="H38" sqref="H38"/>
    </sheetView>
  </sheetViews>
  <sheetFormatPr baseColWidth="10" defaultColWidth="8.83203125" defaultRowHeight="14"/>
  <cols>
    <col width="11.83203125" bestFit="1" customWidth="1" style="2" min="1" max="1"/>
    <col width="24" bestFit="1" customWidth="1" style="2" min="2" max="3"/>
    <col width="7.5" bestFit="1" customWidth="1" style="2" min="4" max="4"/>
    <col width="13" bestFit="1" customWidth="1" style="2" min="5" max="5"/>
    <col width="14.1640625" bestFit="1" customWidth="1" style="2" min="6" max="6"/>
    <col width="5.33203125" bestFit="1" customWidth="1" style="2" min="7" max="7"/>
    <col width="6.33203125" bestFit="1" customWidth="1" style="2" min="8" max="8"/>
    <col width="15.1640625" bestFit="1" customWidth="1" style="2" min="9" max="9"/>
    <col width="6.33203125" bestFit="1" customWidth="1" style="2" min="10" max="10"/>
    <col width="7.5" bestFit="1" customWidth="1" style="2" min="11" max="11"/>
    <col width="10.83203125" bestFit="1" customWidth="1" style="2" min="12" max="12"/>
    <col width="7.5" bestFit="1" customWidth="1" style="2" min="13" max="14"/>
    <col width="11.83203125" bestFit="1" customWidth="1" style="2" min="15" max="15"/>
    <col width="26.1640625" bestFit="1" customWidth="1" style="2" min="16" max="16"/>
    <col width="6.33203125" bestFit="1" customWidth="1" style="2" min="17" max="17"/>
    <col width="7.5" bestFit="1" customWidth="1" style="2" min="18" max="19"/>
    <col width="30.6640625" bestFit="1" customWidth="1" style="2" min="20" max="20"/>
    <col width="6.33203125" bestFit="1" customWidth="1" style="2" min="21" max="23"/>
    <col width="13" bestFit="1" customWidth="1" style="2" min="24" max="24"/>
    <col width="7.5" bestFit="1" customWidth="1" style="2" min="25" max="26"/>
    <col width="31.6640625" bestFit="1" customWidth="1" style="2" min="27" max="27"/>
    <col width="5.33203125" bestFit="1" customWidth="1" style="2" min="28" max="28"/>
    <col width="7.5" bestFit="1" customWidth="1" style="2" min="29" max="29"/>
    <col width="17.33203125" bestFit="1" customWidth="1" style="2" min="30" max="30"/>
    <col width="5.33203125" bestFit="1" customWidth="1" style="2" min="31" max="31"/>
    <col width="7.5" bestFit="1" customWidth="1" style="2" min="32" max="32"/>
    <col width="18.5" bestFit="1" customWidth="1" style="2" min="33" max="33"/>
    <col width="4.1640625" bestFit="1" customWidth="1" style="2" min="34" max="34"/>
    <col width="7.5" bestFit="1" customWidth="1" style="2" min="35" max="35"/>
    <col width="16.33203125" bestFit="1" customWidth="1" style="2" min="36" max="36"/>
    <col width="5.33203125" bestFit="1" customWidth="1" style="2" min="37" max="37"/>
    <col width="7.5" bestFit="1" customWidth="1" style="2" min="38" max="38"/>
    <col width="11.83203125" bestFit="1" customWidth="1" style="2" min="39" max="39"/>
    <col width="6.33203125" bestFit="1" customWidth="1" style="2" min="40" max="40"/>
    <col width="7.5" bestFit="1" customWidth="1" style="2" min="41" max="41"/>
    <col width="18.5" bestFit="1" customWidth="1" style="2" min="42" max="44"/>
    <col width="19.6640625" bestFit="1" customWidth="1" style="2" min="45" max="45"/>
    <col width="6.33203125" bestFit="1" customWidth="1" style="2" min="46" max="46"/>
    <col width="7.5" bestFit="1" customWidth="1" style="2" min="47" max="47"/>
    <col width="14.1640625" bestFit="1" customWidth="1" style="2" min="48" max="48"/>
    <col width="18.5" bestFit="1" customWidth="1" style="2" min="49" max="49"/>
    <col width="6.33203125" bestFit="1" customWidth="1" style="2" min="50" max="50"/>
    <col width="7.5" bestFit="1" customWidth="1" style="2" min="51" max="51"/>
    <col width="20.6640625" bestFit="1" customWidth="1" style="2" min="52" max="52"/>
    <col width="7.5" bestFit="1" customWidth="1" style="2" min="53" max="54"/>
    <col width="16.33203125" bestFit="1" customWidth="1" style="2" min="55" max="55"/>
    <col width="6.33203125" bestFit="1" customWidth="1" style="2" min="56" max="56"/>
    <col width="7.5" bestFit="1" customWidth="1" style="2" min="57" max="57"/>
    <col width="16.33203125" bestFit="1" customWidth="1" style="2" min="58" max="58"/>
    <col width="5.33203125" bestFit="1" customWidth="1" style="2" min="59" max="59"/>
    <col width="7.5" bestFit="1" customWidth="1" style="2" min="60" max="60"/>
    <col width="9.6640625" bestFit="1" customWidth="1" style="2" min="61" max="61"/>
    <col width="7.5" bestFit="1" customWidth="1" style="2" min="62" max="62"/>
    <col width="6.33203125" bestFit="1" customWidth="1" style="2" min="63" max="63"/>
    <col width="9.6640625" bestFit="1" customWidth="1" style="2" min="64" max="64"/>
    <col width="8.6640625" bestFit="1" customWidth="1" style="2" min="65" max="65"/>
    <col width="15.1640625" bestFit="1" customWidth="1" style="2" min="66" max="66"/>
    <col width="7.5" bestFit="1" customWidth="1" style="2" min="67" max="68"/>
    <col width="15.1640625" bestFit="1" customWidth="1" style="2" min="69" max="69"/>
    <col width="6.33203125" bestFit="1" customWidth="1" style="2" min="70" max="70"/>
    <col width="7.5" bestFit="1" customWidth="1" style="2" min="71" max="71"/>
    <col width="18.5" bestFit="1" customWidth="1" style="2" min="72" max="72"/>
    <col width="6.33203125" bestFit="1" customWidth="1" style="2" min="73" max="73"/>
    <col width="7.5" bestFit="1" customWidth="1" style="2" min="74" max="74"/>
    <col width="18.5" bestFit="1" customWidth="1" style="2" min="75" max="75"/>
    <col width="7.5" bestFit="1" customWidth="1" style="2" min="76" max="77"/>
    <col width="15.1640625" bestFit="1" customWidth="1" style="2" min="78" max="78"/>
    <col width="6.33203125" bestFit="1" customWidth="1" style="2" min="79" max="79"/>
    <col width="7.5" bestFit="1" customWidth="1" style="2" min="80" max="81"/>
  </cols>
  <sheetData>
    <row r="1" ht="56" customHeight="1" s="2">
      <c r="A1" t="inlineStr">
        <is>
          <t>Date</t>
        </is>
      </c>
      <c r="B1" t="inlineStr">
        <is>
          <t>Match</t>
        </is>
      </c>
      <c r="C1" t="inlineStr">
        <is>
          <t>Competition</t>
        </is>
      </c>
      <c r="D1" t="inlineStr">
        <is>
          <t>Duration</t>
        </is>
      </c>
      <c r="E1" t="inlineStr">
        <is>
          <t>Team</t>
        </is>
      </c>
      <c r="F1" t="inlineStr">
        <is>
          <t>Scheme</t>
        </is>
      </c>
      <c r="G1" t="inlineStr">
        <is>
          <t>Goals</t>
        </is>
      </c>
      <c r="H1" t="inlineStr">
        <is>
          <t>xG</t>
        </is>
      </c>
      <c r="I1" t="inlineStr">
        <is>
          <t>Shots / on target</t>
        </is>
      </c>
      <c r="L1" t="inlineStr">
        <is>
          <t>Passes / accurate</t>
        </is>
      </c>
      <c r="O1" t="inlineStr">
        <is>
          <t>Possession, %</t>
        </is>
      </c>
      <c r="P1" t="inlineStr">
        <is>
          <t>Losses / Low / Medium / High</t>
        </is>
      </c>
      <c r="T1" t="inlineStr">
        <is>
          <t>Recoveries / Low / Medium / High</t>
        </is>
      </c>
      <c r="X1" t="inlineStr">
        <is>
          <t>Duels / won</t>
        </is>
      </c>
      <c r="AA1" t="inlineStr">
        <is>
          <t>Shots from outside penalty area / on target</t>
        </is>
      </c>
      <c r="AD1" t="inlineStr">
        <is>
          <t>Positional attacks / with shots</t>
        </is>
      </c>
      <c r="AG1" t="inlineStr">
        <is>
          <t>Set pieces / with shots</t>
        </is>
      </c>
      <c r="AJ1" t="inlineStr">
        <is>
          <t>Corners / with shots</t>
        </is>
      </c>
      <c r="AM1" t="inlineStr">
        <is>
          <t>Crosses / accurate</t>
        </is>
      </c>
      <c r="AP1" t="inlineStr">
        <is>
          <t>Deep completed crosses</t>
        </is>
      </c>
      <c r="AQ1" t="inlineStr">
        <is>
          <t>Deep completed passes</t>
        </is>
      </c>
      <c r="AR1" t="inlineStr">
        <is>
          <t>Touches in penalty area</t>
        </is>
      </c>
      <c r="AS1" t="inlineStr">
        <is>
          <t>Offensive duels / won</t>
        </is>
      </c>
      <c r="AV1" t="inlineStr">
        <is>
          <t>Conceded goals</t>
        </is>
      </c>
      <c r="AW1" t="inlineStr">
        <is>
          <t>Shots against / on target</t>
        </is>
      </c>
      <c r="AZ1" t="inlineStr">
        <is>
          <t>Defensive duels / won</t>
        </is>
      </c>
      <c r="BC1" t="inlineStr">
        <is>
          <t>Aerial duels / won</t>
        </is>
      </c>
      <c r="BF1" t="inlineStr">
        <is>
          <t>Sliding tackles / successful</t>
        </is>
      </c>
      <c r="BI1" t="inlineStr">
        <is>
          <t>Interceptions</t>
        </is>
      </c>
      <c r="BJ1" t="inlineStr">
        <is>
          <t>Clearances</t>
        </is>
      </c>
      <c r="BK1" t="inlineStr">
        <is>
          <t>Fouls</t>
        </is>
      </c>
      <c r="BL1" t="inlineStr">
        <is>
          <t>Yellow cards</t>
        </is>
      </c>
      <c r="BM1" t="inlineStr">
        <is>
          <t>Red cards</t>
        </is>
      </c>
      <c r="BN1" t="inlineStr">
        <is>
          <t>Forward passes / accurate</t>
        </is>
      </c>
      <c r="BQ1" t="inlineStr">
        <is>
          <t>Long passes / accurate</t>
        </is>
      </c>
      <c r="BT1" t="inlineStr">
        <is>
          <t>Passes to final third / accurate</t>
        </is>
      </c>
      <c r="BW1" t="inlineStr">
        <is>
          <t>Progressive passes / accurate</t>
        </is>
      </c>
      <c r="BZ1" t="inlineStr">
        <is>
          <t>Throw ins / accurate</t>
        </is>
      </c>
      <c r="CC1" t="inlineStr">
        <is>
          <t>PPDA</t>
        </is>
      </c>
    </row>
    <row r="2">
      <c r="A2" s="1" t="inlineStr">
        <is>
          <t>Perth</t>
        </is>
      </c>
      <c r="B2" s="1" t="n"/>
      <c r="C2" s="1" t="n"/>
      <c r="D2" s="1" t="n"/>
      <c r="E2" s="1" t="n"/>
      <c r="F2" s="1" t="n"/>
      <c r="G2" s="1">
        <f>AVERAGE(G4,G6,G8,G10,G12,G14,G16,G18,G20,G22,G24,G26,G28,G30,G32,G34,G36,#REF!,G39,G41,G43,G45,G47,G49)</f>
        <v/>
      </c>
      <c r="H2" s="1">
        <f>AVERAGE(H4,H6,H8,H10,H12,H14,H16,H18,H20,H22,H24,H26,H28,H30,H32,H34,H36,#REF!,H39,H41,H43,H45,H47,H49)</f>
        <v/>
      </c>
      <c r="I2" s="1">
        <f>AVERAGE(I4,I6,I8,I10,I12,I14,I16,I18,I20,I22,I24,I26,I28,I30,I32,I34,I36,#REF!,I39,I41,I43,I45,I47,I49)</f>
        <v/>
      </c>
      <c r="J2" s="1">
        <f>AVERAGE(J4,J6,J8,J10,J12,J14,J16,J18,J20,J22,J24,J26,J28,J30,J32,J34,J36,#REF!,J39,J41,J43,J45,J47,J49)</f>
        <v/>
      </c>
      <c r="K2" s="1">
        <f>IFERROR(SUM(J4,J6,J8,J10,J12,J14,J16,J18,J20,J22,J24,J26,J28,J30,J32,J34,J36,#REF!,J39,J41,J43,J45,J47,J49)/SUM(I4,I6,I8,I10,I12,I14,I16,I18,I20,I22,I24,I26,I28,I30,I32,I34,I36,#REF!,I39,I41,I43,I45,I47,I49)*100,0)</f>
        <v/>
      </c>
      <c r="L2" s="1">
        <f>AVERAGE(L4,L6,L8,L10,L12,L14,L16,L18,L20,L22,L24,L26,L28,L30,L32,L34,L36,#REF!,L39,L41,L43,L45,L47,L49)</f>
        <v/>
      </c>
      <c r="M2" s="1">
        <f>AVERAGE(M4,M6,M8,M10,M12,M14,M16,M18,M20,M22,M24,M26,M28,M30,M32,M34,M36,#REF!,M39,M41,M43,M45,M47,M49)</f>
        <v/>
      </c>
      <c r="N2" s="1">
        <f>IFERROR(SUM(M4,M6,M8,M10,M12,M14,M16,M18,M20,M22,M24,M26,M28,M30,M32,M34,M36,#REF!,M39,M41,M43,M45,M47,M49)/SUM(L4,L6,L8,L10,L12,L14,L16,L18,L20,L22,L24,L26,L28,L30,L32,L34,L36,#REF!,L39,L41,L43,L45,L47,L49)*100,0)</f>
        <v/>
      </c>
      <c r="O2" s="1">
        <f>AVERAGE(O4,O6,O8,O10,O12,O14,O16,O18,O20,O22,O24,O26,O28,O30,O32,O34,O36,#REF!,O39,O41,O43,O45,O47,O49)</f>
        <v/>
      </c>
      <c r="P2" s="1">
        <f>AVERAGE(P4,P6,P8,P10,P12,P14,P16,P18,P20,P22,P24,P26,P28,P30,P32,P34,P36,#REF!,P39,P41,P43,P45,P47,P49)</f>
        <v/>
      </c>
      <c r="Q2" s="1">
        <f>AVERAGE(Q4,Q6,Q8,Q10,Q12,Q14,Q16,Q18,Q20,Q22,Q24,Q26,Q28,Q30,Q32,Q34,Q36,#REF!,Q39,Q41,Q43,Q45,Q47,Q49)</f>
        <v/>
      </c>
      <c r="R2" s="1">
        <f>AVERAGE(R4,R6,R8,R10,R12,R14,R16,R18,R20,R22,R24,R26,R28,R30,R32,R34,R36,#REF!,R39,R41,R43,R45,R47,R49)</f>
        <v/>
      </c>
      <c r="S2" s="1">
        <f>AVERAGE(S4,S6,S8,S10,S12,S14,S16,S18,S20,S22,S24,S26,S28,S30,S32,S34,S36,#REF!,S39,S41,S43,S45,S47,S49)</f>
        <v/>
      </c>
      <c r="T2" s="1">
        <f>AVERAGE(T4,T6,T8,T10,T12,T14,T16,T18,T20,T22,T24,T26,T28,T30,T32,T34,T36,#REF!,T39,T41,T43,T45,T47,T49)</f>
        <v/>
      </c>
      <c r="U2" s="1">
        <f>AVERAGE(U4,U6,U8,U10,U12,U14,U16,U18,U20,U22,U24,U26,U28,U30,U32,U34,U36,#REF!,U39,U41,U43,U45,U47,U49)</f>
        <v/>
      </c>
      <c r="V2" s="1">
        <f>AVERAGE(V4,V6,V8,V10,V12,V14,V16,V18,V20,V22,V24,V26,V28,V30,V32,V34,V36,#REF!,V39,V41,V43,V45,V47,V49)</f>
        <v/>
      </c>
      <c r="W2" s="1">
        <f>AVERAGE(W4,W6,W8,W10,W12,W14,W16,W18,W20,W22,W24,W26,W28,W30,W32,W34,W36,#REF!,W39,W41,W43,W45,W47,W49)</f>
        <v/>
      </c>
      <c r="X2" s="1">
        <f>AVERAGE(X4,X6,X8,X10,X12,X14,X16,X18,X20,X22,X24,X26,X28,X30,X32,X34,X36,#REF!,X39,X41,X43,X45,X47,X49)</f>
        <v/>
      </c>
      <c r="Y2" s="1">
        <f>AVERAGE(Y4,Y6,Y8,Y10,Y12,Y14,Y16,Y18,Y20,Y22,Y24,Y26,Y28,Y30,Y32,Y34,Y36,#REF!,Y39,Y41,Y43,Y45,Y47,Y49)</f>
        <v/>
      </c>
      <c r="Z2" s="1">
        <f>IFERROR(SUM(Y4,Y6,Y8,Y10,Y12,Y14,Y16,Y18,Y20,Y22,Y24,Y26,Y28,Y30,Y32,Y34,Y36,#REF!,Y39,Y41,Y43,Y45,Y47,Y49)/SUM(X4,X6,X8,X10,X12,X14,X16,X18,X20,X22,X24,X26,X28,X30,X32,X34,X36,#REF!,X39,X41,X43,X45,X47,X49)*100,0)</f>
        <v/>
      </c>
      <c r="AA2" s="1">
        <f>AVERAGE(AA4,AA6,AA8,AA10,AA12,AA14,AA16,AA18,AA20,AA22,AA24,AA26,AA28,AA30,AA32,AA34,AA36,#REF!,AA39,AA41,AA43,AA45,AA47,AA49)</f>
        <v/>
      </c>
      <c r="AB2" s="1">
        <f>AVERAGE(AB4,AB6,AB8,AB10,AB12,AB14,AB16,AB18,AB20,AB22,AB24,AB26,AB28,AB30,AB32,AB34,AB36,#REF!,AB39,AB41,AB43,AB45,AB47,AB49)</f>
        <v/>
      </c>
      <c r="AC2" s="1">
        <f>IFERROR(SUM(AB4,AB6,AB8,AB10,AB12,AB14,AB16,AB18,AB20,AB22,AB24,AB26,AB28,AB30,AB32,AB34,AB36,#REF!,AB39,AB41,AB43,AB45,AB47,AB49)/SUM(AA4,AA6,AA8,AA10,AA12,AA14,AA16,AA18,AA20,AA22,AA24,AA26,AA28,AA30,AA32,AA34,AA36,#REF!,AA39,AA41,AA43,AA45,AA47,AA49)*100,0)</f>
        <v/>
      </c>
      <c r="AD2" s="1">
        <f>AVERAGE(AD4,AD6,AD8,AD10,AD12,AD14,AD16,AD18,AD20,AD22,AD24,AD26,AD28,AD30,AD32,AD34,AD36,#REF!,AD39,AD41,AD43,AD45,AD47,AD49)</f>
        <v/>
      </c>
      <c r="AE2" s="1">
        <f>AVERAGE(AE4,AE6,AE8,AE10,AE12,AE14,AE16,AE18,AE20,AE22,AE24,AE26,AE28,AE30,AE32,AE34,AE36,#REF!,AE39,AE41,AE43,AE45,AE47,AE49)</f>
        <v/>
      </c>
      <c r="AF2" s="1">
        <f>IFERROR(SUM(AE4,AE6,AE8,AE10,AE12,AE14,AE16,AE18,AE20,AE22,AE24,AE26,AE28,AE30,AE32,AE34,AE36,#REF!,AE39,AE41,AE43,AE45,AE47,AE49)/SUM(AD4,AD6,AD8,AD10,AD12,AD14,AD16,AD18,AD20,AD22,AD24,AD26,AD28,AD30,AD32,AD34,AD36,#REF!,AD39,AD41,AD43,AD45,AD47,AD49)*100,0)</f>
        <v/>
      </c>
      <c r="AG2" s="1">
        <f>AVERAGE(AG4,AG6,AG8,AG10,AG12,AG14,AG16,AG18,AG20,AG22,AG24,AG26,AG28,AG30,AG32,AG34,AG36,#REF!,AG39,AG41,AG43,AG45,AG47,AG49)</f>
        <v/>
      </c>
      <c r="AH2" s="1">
        <f>AVERAGE(AH4,AH6,AH8,AH10,AH12,AH14,AH16,AH18,AH20,AH22,AH24,AH26,AH28,AH30,AH32,AH34,AH36,#REF!,AH39,AH41,AH43,AH45,AH47,AH49)</f>
        <v/>
      </c>
      <c r="AI2" s="1">
        <f>IFERROR(SUM(AH4,AH6,AH8,AH10,AH12,AH14,AH16,AH18,AH20,AH22,AH24,AH26,AH28,AH30,AH32,AH34,AH36,#REF!,AH39,AH41,AH43,AH45,AH47,AH49)/SUM(AG4,AG6,AG8,AG10,AG12,AG14,AG16,AG18,AG20,AG22,AG24,AG26,AG28,AG30,AG32,AG34,AG36,#REF!,AG39,AG41,AG43,AG45,AG47,AG49)*100,0)</f>
        <v/>
      </c>
      <c r="AJ2" s="1">
        <f>AVERAGE(AJ4,AJ6,AJ8,AJ10,AJ12,AJ14,AJ16,AJ18,AJ20,AJ22,AJ24,AJ26,AJ28,AJ30,AJ32,AJ34,AJ36,#REF!,AJ39,AJ41,AJ43,AJ45,AJ47,AJ49)</f>
        <v/>
      </c>
      <c r="AK2" s="1">
        <f>AVERAGE(AK4,AK6,AK8,AK10,AK12,AK14,AK16,AK18,AK20,AK22,AK24,AK26,AK28,AK30,AK32,AK34,AK36,#REF!,AK39,AK41,AK43,AK45,AK47,AK49)</f>
        <v/>
      </c>
      <c r="AL2" s="1">
        <f>IFERROR(SUM(AK4,AK6,AK8,AK10,AK12,AK14,AK16,AK18,AK20,AK22,AK24,AK26,AK28,AK30,AK32,AK34,AK36,#REF!,AK39,AK41,AK43,AK45,AK47,AK49)/SUM(AJ4,AJ6,AJ8,AJ10,AJ12,AJ14,AJ16,AJ18,AJ20,AJ22,AJ24,AJ26,AJ28,AJ30,AJ32,AJ34,AJ36,#REF!,AJ39,AJ41,AJ43,AJ45,AJ47,AJ49)*100,0)</f>
        <v/>
      </c>
      <c r="AM2" s="1">
        <f>AVERAGE(AM4,AM6,AM8,AM10,AM12,AM14,AM16,AM18,AM20,AM22,AM24,AM26,AM28,AM30,AM32,AM34,AM36,#REF!,AM39,AM41,AM43,AM45,AM47,AM49)</f>
        <v/>
      </c>
      <c r="AN2" s="1">
        <f>AVERAGE(AN4,AN6,AN8,AN10,AN12,AN14,AN16,AN18,AN20,AN22,AN24,AN26,AN28,AN30,AN32,AN34,AN36,#REF!,AN39,AN41,AN43,AN45,AN47,AN49)</f>
        <v/>
      </c>
      <c r="AO2" s="1">
        <f>IFERROR(SUM(AN4,AN6,AN8,AN10,AN12,AN14,AN16,AN18,AN20,AN22,AN24,AN26,AN28,AN30,AN32,AN34,AN36,#REF!,AN39,AN41,AN43,AN45,AN47,AN49)/SUM(AM4,AM6,AM8,AM10,AM12,AM14,AM16,AM18,AM20,AM22,AM24,AM26,AM28,AM30,AM32,AM34,AM36,#REF!,AM39,AM41,AM43,AM45,AM47,AM49)*100,0)</f>
        <v/>
      </c>
      <c r="AP2" s="1">
        <f>AVERAGE(AP4,AP6,AP8,AP10,AP12,AP14,AP16,AP18,AP20,AP22,AP24,AP26,AP28,AP30,AP32,AP34,AP36,#REF!,AP39,AP41,AP43,AP45,AP47,AP49)</f>
        <v/>
      </c>
      <c r="AQ2" s="1">
        <f>AVERAGE(AQ4,AQ6,AQ8,AQ10,AQ12,AQ14,AQ16,AQ18,AQ20,AQ22,AQ24,AQ26,AQ28,AQ30,AQ32,AQ34,AQ36,#REF!,AQ39,AQ41,AQ43,AQ45,AQ47,AQ49)</f>
        <v/>
      </c>
      <c r="AR2" s="1">
        <f>AVERAGE(AR4,AR6,AR8,AR10,AR12,AR14,AR16,AR18,AR20,AR22,AR24,AR26,AR28,AR30,AR32,AR34,AR36,#REF!,AR39,AR41,AR43,AR45,AR47,AR49)</f>
        <v/>
      </c>
      <c r="AS2" s="1">
        <f>AVERAGE(AS4,AS6,AS8,AS10,AS12,AS14,AS16,AS18,AS20,AS22,AS24,AS26,AS28,AS30,AS32,AS34,AS36,#REF!,AS39,AS41,AS43,AS45,AS47,AS49)</f>
        <v/>
      </c>
      <c r="AT2" s="1">
        <f>AVERAGE(AT4,AT6,AT8,AT10,AT12,AT14,AT16,AT18,AT20,AT22,AT24,AT26,AT28,AT30,AT32,AT34,AT36,#REF!,AT39,AT41,AT43,AT45,AT47,AT49)</f>
        <v/>
      </c>
      <c r="AU2" s="1">
        <f>IFERROR(SUM(AT4,AT6,AT8,AT10,AT12,AT14,AT16,AT18,AT20,AT22,AT24,AT26,AT28,AT30,AT32,AT34,AT36,#REF!,AT39,AT41,AT43,AT45,AT47,AT49)/SUM(AS4,AS6,AS8,AS10,AS12,AS14,AS16,AS18,AS20,AS22,AS24,AS26,AS28,AS30,AS32,AS34,AS36,#REF!,AS39,AS41,AS43,AS45,AS47,AS49)*100,0)</f>
        <v/>
      </c>
      <c r="AV2" s="1">
        <f>AVERAGE(AV4,AV6,AV8,AV10,AV12,AV14,AV16,AV18,AV20,AV22,AV24,AV26,AV28,AV30,AV32,AV34,AV36,#REF!,AV39,AV41,AV43,AV45,AV47,AV49)</f>
        <v/>
      </c>
      <c r="AW2" s="1">
        <f>AVERAGE(AW4,AW6,AW8,AW10,AW12,AW14,AW16,AW18,AW20,AW22,AW24,AW26,AW28,AW30,AW32,AW34,AW36,#REF!,AW39,AW41,AW43,AW45,AW47,AW49)</f>
        <v/>
      </c>
      <c r="AX2" s="1">
        <f>AVERAGE(AX4,AX6,AX8,AX10,AX12,AX14,AX16,AX18,AX20,AX22,AX24,AX26,AX28,AX30,AX32,AX34,AX36,#REF!,AX39,AX41,AX43,AX45,AX47,AX49)</f>
        <v/>
      </c>
      <c r="AY2" s="1">
        <f>IFERROR(SUM(AX4,AX6,AX8,AX10,AX12,AX14,AX16,AX18,AX20,AX22,AX24,AX26,AX28,AX30,AX32,AX34,AX36,#REF!,AX39,AX41,AX43,AX45,AX47,AX49)/SUM(AW4,AW6,AW8,AW10,AW12,AW14,AW16,AW18,AW20,AW22,AW24,AW26,AW28,AW30,AW32,AW34,AW36,#REF!,AW39,AW41,AW43,AW45,AW47,AW49)*100,0)</f>
        <v/>
      </c>
      <c r="AZ2" s="1">
        <f>AVERAGE(AZ4,AZ6,AZ8,AZ10,AZ12,AZ14,AZ16,AZ18,AZ20,AZ22,AZ24,AZ26,AZ28,AZ30,AZ32,AZ34,AZ36,#REF!,AZ39,AZ41,AZ43,AZ45,AZ47,AZ49)</f>
        <v/>
      </c>
      <c r="BA2" s="1">
        <f>AVERAGE(BA4,BA6,BA8,BA10,BA12,BA14,BA16,BA18,BA20,BA22,BA24,BA26,BA28,BA30,BA32,BA34,BA36,#REF!,BA39,BA41,BA43,BA45,BA47,BA49)</f>
        <v/>
      </c>
      <c r="BB2" s="1">
        <f>IFERROR(SUM(BA4,BA6,BA8,BA10,BA12,BA14,BA16,BA18,BA20,BA22,BA24,BA26,BA28,BA30,BA32,BA34,BA36,#REF!,BA39,BA41,BA43,BA45,BA47,BA49)/SUM(AZ4,AZ6,AZ8,AZ10,AZ12,AZ14,AZ16,AZ18,AZ20,AZ22,AZ24,AZ26,AZ28,AZ30,AZ32,AZ34,AZ36,#REF!,AZ39,AZ41,AZ43,AZ45,AZ47,AZ49)*100,0)</f>
        <v/>
      </c>
      <c r="BC2" s="1">
        <f>AVERAGE(BC4,BC6,BC8,BC10,BC12,BC14,BC16,BC18,BC20,BC22,BC24,BC26,BC28,BC30,BC32,BC34,BC36,#REF!,BC39,BC41,BC43,BC45,BC47,BC49)</f>
        <v/>
      </c>
      <c r="BD2" s="1">
        <f>AVERAGE(BD4,BD6,BD8,BD10,BD12,BD14,BD16,BD18,BD20,BD22,BD24,BD26,BD28,BD30,BD32,BD34,BD36,#REF!,BD39,BD41,BD43,BD45,BD47,BD49)</f>
        <v/>
      </c>
      <c r="BE2" s="1">
        <f>IFERROR(SUM(BD4,BD6,BD8,BD10,BD12,BD14,BD16,BD18,BD20,BD22,BD24,BD26,BD28,BD30,BD32,BD34,BD36,#REF!,BD39,BD41,BD43,BD45,BD47,BD49)/SUM(BC4,BC6,BC8,BC10,BC12,BC14,BC16,BC18,BC20,BC22,BC24,BC26,BC28,BC30,BC32,BC34,BC36,#REF!,BC39,BC41,BC43,BC45,BC47,BC49)*100,0)</f>
        <v/>
      </c>
      <c r="BF2" s="1">
        <f>AVERAGE(BF4,BF6,BF8,BF10,BF12,BF14,BF16,BF18,BF20,BF22,BF24,BF26,BF28,BF30,BF32,BF34,BF36,#REF!,BF39,BF41,BF43,BF45,BF47,BF49)</f>
        <v/>
      </c>
      <c r="BG2" s="1">
        <f>AVERAGE(BG4,BG6,BG8,BG10,BG12,BG14,BG16,BG18,BG20,BG22,BG24,BG26,BG28,BG30,BG32,BG34,BG36,#REF!,BG39,BG41,BG43,BG45,BG47,BG49)</f>
        <v/>
      </c>
      <c r="BH2" s="1">
        <f>IFERROR(SUM(BG4,BG6,BG8,BG10,BG12,BG14,BG16,BG18,BG20,BG22,BG24,BG26,BG28,BG30,BG32,BG34,BG36,#REF!,BG39,BG41,BG43,BG45,BG47,BG49)/SUM(BF4,BF6,BF8,BF10,BF12,BF14,BF16,BF18,BF20,BF22,BF24,BF26,BF28,BF30,BF32,BF34,BF36,#REF!,BF39,BF41,BF43,BF45,BF47,BF49)*100,0)</f>
        <v/>
      </c>
      <c r="BI2" s="1">
        <f>AVERAGE(BI4,BI6,BI8,BI10,BI12,BI14,BI16,BI18,BI20,BI22,BI24,BI26,BI28,BI30,BI32,BI34,BI36,#REF!,BI39,BI41,BI43,BI45,BI47,BI49)</f>
        <v/>
      </c>
      <c r="BJ2" s="1">
        <f>AVERAGE(BJ4,BJ6,BJ8,BJ10,BJ12,BJ14,BJ16,BJ18,BJ20,BJ22,BJ24,BJ26,BJ28,BJ30,BJ32,BJ34,BJ36,#REF!,BJ39,BJ41,BJ43,BJ45,BJ47,BJ49)</f>
        <v/>
      </c>
      <c r="BK2" s="1">
        <f>AVERAGE(BK4,BK6,BK8,BK10,BK12,BK14,BK16,BK18,BK20,BK22,BK24,BK26,BK28,BK30,BK32,BK34,BK36,#REF!,BK39,BK41,BK43,BK45,BK47,BK49)</f>
        <v/>
      </c>
      <c r="BL2" s="1">
        <f>AVERAGE(BL4,BL6,BL8,BL10,BL12,BL14,BL16,BL18,BL20,BL22,BL24,BL26,BL28,BL30,BL32,BL34,BL36,#REF!,BL39,BL41,BL43,BL45,BL47,BL49)</f>
        <v/>
      </c>
      <c r="BM2" s="1">
        <f>AVERAGE(BM4,BM6,BM8,BM10,BM12,BM14,BM16,BM18,BM20,BM22,BM24,BM26,BM28,BM30,BM32,BM34,BM36,#REF!,BM39,BM41,BM43,BM45,BM47,BM49)</f>
        <v/>
      </c>
      <c r="BN2" s="1">
        <f>AVERAGE(BN4,BN6,BN8,BN10,BN12,BN14,BN16,BN18,BN20,BN22,BN24,BN26,BN28,BN30,BN32,BN34,BN36,#REF!,BN39,BN41,BN43,BN45,BN47,BN49)</f>
        <v/>
      </c>
      <c r="BO2" s="1">
        <f>AVERAGE(BO4,BO6,BO8,BO10,BO12,BO14,BO16,BO18,BO20,BO22,BO24,BO26,BO28,BO30,BO32,BO34,BO36,#REF!,BO39,BO41,BO43,BO45,BO47,BO49)</f>
        <v/>
      </c>
      <c r="BP2" s="1">
        <f>IFERROR(SUM(BO4,BO6,BO8,BO10,BO12,BO14,BO16,BO18,BO20,BO22,BO24,BO26,BO28,BO30,BO32,BO34,BO36,#REF!,BO39,BO41,BO43,BO45,BO47,BO49)/SUM(BN4,BN6,BN8,BN10,BN12,BN14,BN16,BN18,BN20,BN22,BN24,BN26,BN28,BN30,BN32,BN34,BN36,#REF!,BN39,BN41,BN43,BN45,BN47,BN49)*100,0)</f>
        <v/>
      </c>
      <c r="BQ2" s="1">
        <f>AVERAGE(BQ4,BQ6,BQ8,BQ10,BQ12,BQ14,BQ16,BQ18,BQ20,BQ22,BQ24,BQ26,BQ28,BQ30,BQ32,BQ34,BQ36,#REF!,BQ39,BQ41,BQ43,BQ45,BQ47,BQ49)</f>
        <v/>
      </c>
      <c r="BR2" s="1">
        <f>AVERAGE(BR4,BR6,BR8,BR10,BR12,BR14,BR16,BR18,BR20,BR22,BR24,BR26,BR28,BR30,BR32,BR34,BR36,#REF!,BR39,BR41,BR43,BR45,BR47,BR49)</f>
        <v/>
      </c>
      <c r="BS2" s="1">
        <f>IFERROR(SUM(BR4,BR6,BR8,BR10,BR12,BR14,BR16,BR18,BR20,BR22,BR24,BR26,BR28,BR30,BR32,BR34,BR36,#REF!,BR39,BR41,BR43,BR45,BR47,BR49)/SUM(BQ4,BQ6,BQ8,BQ10,BQ12,BQ14,BQ16,BQ18,BQ20,BQ22,BQ24,BQ26,BQ28,BQ30,BQ32,BQ34,BQ36,#REF!,BQ39,BQ41,BQ43,BQ45,BQ47,BQ49)*100,0)</f>
        <v/>
      </c>
      <c r="BT2" s="1">
        <f>AVERAGE(BT4,BT6,BT8,BT10,BT12,BT14,BT16,BT18,BT20,BT22,BT24,BT26,BT28,BT30,BT32,BT34,BT36,#REF!,BT39,BT41,BT43,BT45,BT47,BT49)</f>
        <v/>
      </c>
      <c r="BU2" s="1">
        <f>AVERAGE(BU4,BU6,BU8,BU10,BU12,BU14,BU16,BU18,BU20,BU22,BU24,BU26,BU28,BU30,BU32,BU34,BU36,#REF!,BU39,BU41,BU43,BU45,BU47,BU49)</f>
        <v/>
      </c>
      <c r="BV2" s="1">
        <f>IFERROR(SUM(BU4,BU6,BU8,BU10,BU12,BU14,BU16,BU18,BU20,BU22,BU24,BU26,BU28,BU30,BU32,BU34,BU36,#REF!,BU39,BU41,BU43,BU45,BU47,BU49)/SUM(BT4,BT6,BT8,BT10,BT12,BT14,BT16,BT18,BT20,BT22,BT24,BT26,BT28,BT30,BT32,BT34,BT36,#REF!,BT39,BT41,BT43,BT45,BT47,BT49)*100,0)</f>
        <v/>
      </c>
      <c r="BW2" s="1">
        <f>AVERAGE(BW4,BW6,BW8,BW10,BW12,BW14,BW16,BW18,BW20,BW22,BW24,BW26,BW28,BW30,BW32,BW34,BW36,#REF!,BW39,BW41,BW43,BW45,BW47,BW49)</f>
        <v/>
      </c>
      <c r="BX2" s="1">
        <f>AVERAGE(BX4,BX6,BX8,BX10,BX12,BX14,BX16,BX18,BX20,BX22,BX24,BX26,BX28,BX30,BX32,BX34,BX36,#REF!,BX39,BX41,BX43,BX45,BX47,BX49)</f>
        <v/>
      </c>
      <c r="BY2" s="1">
        <f>IFERROR(SUM(BX4,BX6,BX8,BX10,BX12,BX14,BX16,BX18,BX20,BX22,BX24,BX26,BX28,BX30,BX32,BX34,BX36,#REF!,BX39,BX41,BX43,BX45,BX47,BX49)/SUM(BW4,BW6,BW8,BW10,BW12,BW14,BW16,BW18,BW20,BW22,BW24,BW26,BW28,BW30,BW32,BW34,BW36,#REF!,BW39,BW41,BW43,BW45,BW47,BW49)*100,0)</f>
        <v/>
      </c>
      <c r="BZ2" s="1">
        <f>AVERAGE(BZ4,BZ6,BZ8,BZ10,BZ12,BZ14,BZ16,BZ18,BZ20,BZ22,BZ24,BZ26,BZ28,BZ30,BZ32,BZ34,BZ36,#REF!,BZ39,BZ41,BZ43,BZ45,BZ47,BZ49)</f>
        <v/>
      </c>
      <c r="CA2" s="1">
        <f>AVERAGE(CA4,CA6,CA8,CA10,CA12,CA14,CA16,CA18,CA20,CA22,CA24,CA26,CA28,CA30,CA32,CA34,CA36,#REF!,CA39,CA41,CA43,CA45,CA47,CA49)</f>
        <v/>
      </c>
      <c r="CB2" s="1">
        <f>IFERROR(SUM(CA4,CA6,CA8,CA10,CA12,CA14,CA16,CA18,CA20,CA22,CA24,CA26,CA28,CA30,CA32,CA34,CA36,#REF!,CA39,CA41,CA43,CA45,CA47,CA49)/SUM(BZ4,BZ6,BZ8,BZ10,BZ12,BZ14,BZ16,BZ18,BZ20,BZ22,BZ24,BZ26,BZ28,BZ30,BZ32,BZ34,BZ36,#REF!,BZ39,BZ41,BZ43,BZ45,BZ47,BZ49)*100,0)</f>
        <v/>
      </c>
      <c r="CC2" s="1">
        <f>AVERAGE(CC4,CC6,CC8,CC10,CC12,CC14,CC16,CC18,CC20,CC22,CC24,CC26,CC28,CC30,CC32,CC34,CC36,#REF!,CC39,CC41,CC43,CC45,CC47,CC49)</f>
        <v/>
      </c>
    </row>
    <row r="3">
      <c r="A3" s="1" t="inlineStr">
        <is>
          <t>Opponents</t>
        </is>
      </c>
      <c r="B3" s="1" t="n"/>
      <c r="C3" s="1" t="n"/>
      <c r="D3" s="1" t="n"/>
      <c r="E3" s="1" t="n"/>
      <c r="F3" s="1" t="n"/>
      <c r="G3" s="1">
        <f>AVERAGE(G5,G7,G9,G11,G13,G15,G17,G19,G21,G23,G25,G27,G29,G31,G33,G35,G37,G38,G40,G42,G44,G46,G48,G50)</f>
        <v/>
      </c>
      <c r="H3" s="1">
        <f>AVERAGE(H5,H7,H9,H11,H13,H15,H17,H19,H21,H23,H25,H27,H29,H31,H33,H35,H37,H38,H40,H42,H44,H46,H48,H50)</f>
        <v/>
      </c>
      <c r="I3" s="1">
        <f>AVERAGE(I5,I7,I9,I11,I13,I15,I17,I19,I21,I23,I25,I27,I29,I31,I33,I35,I37,I38,I40,I42,I44,I46,I48,I50)</f>
        <v/>
      </c>
      <c r="J3" s="1">
        <f>AVERAGE(J5,J7,J9,J11,J13,J15,J17,J19,J21,J23,J25,J27,J29,J31,J33,J35,J37,J38,J40,J42,J44,J46,J48,J50)</f>
        <v/>
      </c>
      <c r="K3" s="1">
        <f>IFERROR(SUM(J5,J7,J9,J11,J13,J15,J17,J19,J21,J23,J25,J27,J29,J31,J33,J35,J37,J38,J40,J42,J44,J46,J48,J50)/SUM(I5,I7,I9,I11,I13,I15,I17,I19,I21,I23,I25,I27,I29,I31,I33,I35,I37,I38,I40,I42,I44,I46,I48,I50)*100,0)</f>
        <v/>
      </c>
      <c r="L3" s="1">
        <f>AVERAGE(L5,L7,L9,L11,L13,L15,L17,L19,L21,L23,L25,L27,L29,L31,L33,L35,L37,L38,L40,L42,L44,L46,L48,L50)</f>
        <v/>
      </c>
      <c r="M3" s="1">
        <f>AVERAGE(M5,M7,M9,M11,M13,M15,M17,M19,M21,M23,M25,M27,M29,M31,M33,M35,M37,M38,M40,M42,M44,M46,M48,M50)</f>
        <v/>
      </c>
      <c r="N3" s="1">
        <f>IFERROR(SUM(M5,M7,M9,M11,M13,M15,M17,M19,M21,M23,M25,M27,M29,M31,M33,M35,M37,M38,M40,M42,M44,M46,M48,M50)/SUM(L5,L7,L9,L11,L13,L15,L17,L19,L21,L23,L25,L27,L29,L31,L33,L35,L37,L38,L40,L42,L44,L46,L48,L50)*100,0)</f>
        <v/>
      </c>
      <c r="O3" s="1">
        <f>AVERAGE(O5,O7,O9,O11,O13,O15,O17,O19,O21,O23,O25,O27,O29,O31,O33,O35,O37,O38,O40,O42,O44,O46,O48,O50)</f>
        <v/>
      </c>
      <c r="P3" s="1">
        <f>AVERAGE(P5,P7,P9,P11,P13,P15,P17,P19,P21,P23,P25,P27,P29,P31,P33,P35,P37,P38,P40,P42,P44,P46,P48,P50)</f>
        <v/>
      </c>
      <c r="Q3" s="1">
        <f>AVERAGE(Q5,Q7,Q9,Q11,Q13,Q15,Q17,Q19,Q21,Q23,Q25,Q27,Q29,Q31,Q33,Q35,Q37,Q38,Q40,Q42,Q44,Q46,Q48,Q50)</f>
        <v/>
      </c>
      <c r="R3" s="1">
        <f>AVERAGE(R5,R7,R9,R11,R13,R15,R17,R19,R21,R23,R25,R27,R29,R31,R33,R35,R37,R38,R40,R42,R44,R46,R48,R50)</f>
        <v/>
      </c>
      <c r="S3" s="1">
        <f>AVERAGE(S5,S7,S9,S11,S13,S15,S17,S19,S21,S23,S25,S27,S29,S31,S33,S35,S37,S38,S40,S42,S44,S46,S48,S50)</f>
        <v/>
      </c>
      <c r="T3" s="1">
        <f>AVERAGE(T5,T7,T9,T11,T13,T15,T17,T19,T21,T23,T25,T27,T29,T31,T33,T35,T37,T38,T40,T42,T44,T46,T48,T50)</f>
        <v/>
      </c>
      <c r="U3" s="1">
        <f>AVERAGE(U5,U7,U9,U11,U13,U15,U17,U19,U21,U23,U25,U27,U29,U31,U33,U35,U37,U38,U40,U42,U44,U46,U48,U50)</f>
        <v/>
      </c>
      <c r="V3" s="1">
        <f>AVERAGE(V5,V7,V9,V11,V13,V15,V17,V19,V21,V23,V25,V27,V29,V31,V33,V35,V37,V38,V40,V42,V44,V46,V48,V50)</f>
        <v/>
      </c>
      <c r="W3" s="1">
        <f>AVERAGE(W5,W7,W9,W11,W13,W15,W17,W19,W21,W23,W25,W27,W29,W31,W33,W35,W37,W38,W40,W42,W44,W46,W48,W50)</f>
        <v/>
      </c>
      <c r="X3" s="1">
        <f>AVERAGE(X5,X7,X9,X11,X13,X15,X17,X19,X21,X23,X25,X27,X29,X31,X33,X35,X37,X38,X40,X42,X44,X46,X48,X50)</f>
        <v/>
      </c>
      <c r="Y3" s="1">
        <f>AVERAGE(Y5,Y7,Y9,Y11,Y13,Y15,Y17,Y19,Y21,Y23,Y25,Y27,Y29,Y31,Y33,Y35,Y37,Y38,Y40,Y42,Y44,Y46,Y48,Y50)</f>
        <v/>
      </c>
      <c r="Z3" s="1">
        <f>IFERROR(SUM(Y5,Y7,Y9,Y11,Y13,Y15,Y17,Y19,Y21,Y23,Y25,Y27,Y29,Y31,Y33,Y35,Y37,Y38,Y40,Y42,Y44,Y46,Y48,Y50)/SUM(X5,X7,X9,X11,X13,X15,X17,X19,X21,X23,X25,X27,X29,X31,X33,X35,X37,X38,X40,X42,X44,X46,X48,X50)*100,0)</f>
        <v/>
      </c>
      <c r="AA3" s="1">
        <f>AVERAGE(AA5,AA7,AA9,AA11,AA13,AA15,AA17,AA19,AA21,AA23,AA25,AA27,AA29,AA31,AA33,AA35,AA37,AA38,AA40,AA42,AA44,AA46,AA48,AA50)</f>
        <v/>
      </c>
      <c r="AB3" s="1">
        <f>AVERAGE(AB5,AB7,AB9,AB11,AB13,AB15,AB17,AB19,AB21,AB23,AB25,AB27,AB29,AB31,AB33,AB35,AB37,AB38,AB40,AB42,AB44,AB46,AB48,AB50)</f>
        <v/>
      </c>
      <c r="AC3" s="1">
        <f>IFERROR(SUM(AB5,AB7,AB9,AB11,AB13,AB15,AB17,AB19,AB21,AB23,AB25,AB27,AB29,AB31,AB33,AB35,AB37,AB38,AB40,AB42,AB44,AB46,AB48,AB50)/SUM(AA5,AA7,AA9,AA11,AA13,AA15,AA17,AA19,AA21,AA23,AA25,AA27,AA29,AA31,AA33,AA35,AA37,AA38,AA40,AA42,AA44,AA46,AA48,AA50)*100,0)</f>
        <v/>
      </c>
      <c r="AD3" s="1">
        <f>AVERAGE(AD5,AD7,AD9,AD11,AD13,AD15,AD17,AD19,AD21,AD23,AD25,AD27,AD29,AD31,AD33,AD35,AD37,AD38,AD40,AD42,AD44,AD46,AD48,AD50)</f>
        <v/>
      </c>
      <c r="AE3" s="1">
        <f>AVERAGE(AE5,AE7,AE9,AE11,AE13,AE15,AE17,AE19,AE21,AE23,AE25,AE27,AE29,AE31,AE33,AE35,AE37,AE38,AE40,AE42,AE44,AE46,AE48,AE50)</f>
        <v/>
      </c>
      <c r="AF3" s="1">
        <f>IFERROR(SUM(AE5,AE7,AE9,AE11,AE13,AE15,AE17,AE19,AE21,AE23,AE25,AE27,AE29,AE31,AE33,AE35,AE37,AE38,AE40,AE42,AE44,AE46,AE48,AE50)/SUM(AD5,AD7,AD9,AD11,AD13,AD15,AD17,AD19,AD21,AD23,AD25,AD27,AD29,AD31,AD33,AD35,AD37,AD38,AD40,AD42,AD44,AD46,AD48,AD50)*100,0)</f>
        <v/>
      </c>
      <c r="AG3" s="1">
        <f>AVERAGE(AG5,AG7,AG9,AG11,AG13,AG15,AG17,AG19,AG21,AG23,AG25,AG27,AG29,AG31,AG33,AG35,AG37,AG38,AG40,AG42,AG44,AG46,AG48,AG50)</f>
        <v/>
      </c>
      <c r="AH3" s="1">
        <f>AVERAGE(AH5,AH7,AH9,AH11,AH13,AH15,AH17,AH19,AH21,AH23,AH25,AH27,AH29,AH31,AH33,AH35,AH37,AH38,AH40,AH42,AH44,AH46,AH48,AH50)</f>
        <v/>
      </c>
      <c r="AI3" s="1">
        <f>IFERROR(SUM(AH5,AH7,AH9,AH11,AH13,AH15,AH17,AH19,AH21,AH23,AH25,AH27,AH29,AH31,AH33,AH35,AH37,AH38,AH40,AH42,AH44,AH46,AH48,AH50)/SUM(AG5,AG7,AG9,AG11,AG13,AG15,AG17,AG19,AG21,AG23,AG25,AG27,AG29,AG31,AG33,AG35,AG37,AG38,AG40,AG42,AG44,AG46,AG48,AG50)*100,0)</f>
        <v/>
      </c>
      <c r="AJ3" s="1">
        <f>AVERAGE(AJ5,AJ7,AJ9,AJ11,AJ13,AJ15,AJ17,AJ19,AJ21,AJ23,AJ25,AJ27,AJ29,AJ31,AJ33,AJ35,AJ37,AJ38,AJ40,AJ42,AJ44,AJ46,AJ48,AJ50)</f>
        <v/>
      </c>
      <c r="AK3" s="1">
        <f>AVERAGE(AK5,AK7,AK9,AK11,AK13,AK15,AK17,AK19,AK21,AK23,AK25,AK27,AK29,AK31,AK33,AK35,AK37,AK38,AK40,AK42,AK44,AK46,AK48,AK50)</f>
        <v/>
      </c>
      <c r="AL3" s="1">
        <f>IFERROR(SUM(AK5,AK7,AK9,AK11,AK13,AK15,AK17,AK19,AK21,AK23,AK25,AK27,AK29,AK31,AK33,AK35,AK37,AK38,AK40,AK42,AK44,AK46,AK48,AK50)/SUM(AJ5,AJ7,AJ9,AJ11,AJ13,AJ15,AJ17,AJ19,AJ21,AJ23,AJ25,AJ27,AJ29,AJ31,AJ33,AJ35,AJ37,AJ38,AJ40,AJ42,AJ44,AJ46,AJ48,AJ50)*100,0)</f>
        <v/>
      </c>
      <c r="AM3" s="1">
        <f>AVERAGE(AM5,AM7,AM9,AM11,AM13,AM15,AM17,AM19,AM21,AM23,AM25,AM27,AM29,AM31,AM33,AM35,AM37,AM38,AM40,AM42,AM44,AM46,AM48,AM50)</f>
        <v/>
      </c>
      <c r="AN3" s="1">
        <f>AVERAGE(AN5,AN7,AN9,AN11,AN13,AN15,AN17,AN19,AN21,AN23,AN25,AN27,AN29,AN31,AN33,AN35,AN37,AN38,AN40,AN42,AN44,AN46,AN48,AN50)</f>
        <v/>
      </c>
      <c r="AO3" s="1">
        <f>IFERROR(SUM(AN5,AN7,AN9,AN11,AN13,AN15,AN17,AN19,AN21,AN23,AN25,AN27,AN29,AN31,AN33,AN35,AN37,AN38,AN40,AN42,AN44,AN46,AN48,AN50)/SUM(AM5,AM7,AM9,AM11,AM13,AM15,AM17,AM19,AM21,AM23,AM25,AM27,AM29,AM31,AM33,AM35,AM37,AM38,AM40,AM42,AM44,AM46,AM48,AM50)*100,0)</f>
        <v/>
      </c>
      <c r="AP3" s="1">
        <f>AVERAGE(AP5,AP7,AP9,AP11,AP13,AP15,AP17,AP19,AP21,AP23,AP25,AP27,AP29,AP31,AP33,AP35,AP37,AP38,AP40,AP42,AP44,AP46,AP48,AP50)</f>
        <v/>
      </c>
      <c r="AQ3" s="1">
        <f>AVERAGE(AQ5,AQ7,AQ9,AQ11,AQ13,AQ15,AQ17,AQ19,AQ21,AQ23,AQ25,AQ27,AQ29,AQ31,AQ33,AQ35,AQ37,AQ38,AQ40,AQ42,AQ44,AQ46,AQ48,AQ50)</f>
        <v/>
      </c>
      <c r="AR3" s="1">
        <f>AVERAGE(AR5,AR7,AR9,AR11,AR13,AR15,AR17,AR19,AR21,AR23,AR25,AR27,AR29,AR31,AR33,AR35,AR37,AR38,AR40,AR42,AR44,AR46,AR48,AR50)</f>
        <v/>
      </c>
      <c r="AS3" s="1">
        <f>AVERAGE(AS5,AS7,AS9,AS11,AS13,AS15,AS17,AS19,AS21,AS23,AS25,AS27,AS29,AS31,AS33,AS35,AS37,AS38,AS40,AS42,AS44,AS46,AS48,AS50)</f>
        <v/>
      </c>
      <c r="AT3" s="1">
        <f>AVERAGE(AT5,AT7,AT9,AT11,AT13,AT15,AT17,AT19,AT21,AT23,AT25,AT27,AT29,AT31,AT33,AT35,AT37,AT38,AT40,AT42,AT44,AT46,AT48,AT50)</f>
        <v/>
      </c>
      <c r="AU3" s="1">
        <f>IFERROR(SUM(AT5,AT7,AT9,AT11,AT13,AT15,AT17,AT19,AT21,AT23,AT25,AT27,AT29,AT31,AT33,AT35,AT37,AT38,AT40,AT42,AT44,AT46,AT48,AT50)/SUM(AS5,AS7,AS9,AS11,AS13,AS15,AS17,AS19,AS21,AS23,AS25,AS27,AS29,AS31,AS33,AS35,AS37,AS38,AS40,AS42,AS44,AS46,AS48,AS50)*100,0)</f>
        <v/>
      </c>
      <c r="AV3" s="1">
        <f>AVERAGE(AV5,AV7,AV9,AV11,AV13,AV15,AV17,AV19,AV21,AV23,AV25,AV27,AV29,AV31,AV33,AV35,AV37,AV38,AV40,AV42,AV44,AV46,AV48,AV50)</f>
        <v/>
      </c>
      <c r="AW3" s="1">
        <f>AVERAGE(AW5,AW7,AW9,AW11,AW13,AW15,AW17,AW19,AW21,AW23,AW25,AW27,AW29,AW31,AW33,AW35,AW37,AW38,AW40,AW42,AW44,AW46,AW48,AW50)</f>
        <v/>
      </c>
      <c r="AX3" s="1">
        <f>AVERAGE(AX5,AX7,AX9,AX11,AX13,AX15,AX17,AX19,AX21,AX23,AX25,AX27,AX29,AX31,AX33,AX35,AX37,AX38,AX40,AX42,AX44,AX46,AX48,AX50)</f>
        <v/>
      </c>
      <c r="AY3" s="1">
        <f>IFERROR(SUM(AX5,AX7,AX9,AX11,AX13,AX15,AX17,AX19,AX21,AX23,AX25,AX27,AX29,AX31,AX33,AX35,AX37,AX38,AX40,AX42,AX44,AX46,AX48,AX50)/SUM(AW5,AW7,AW9,AW11,AW13,AW15,AW17,AW19,AW21,AW23,AW25,AW27,AW29,AW31,AW33,AW35,AW37,AW38,AW40,AW42,AW44,AW46,AW48,AW50)*100,0)</f>
        <v/>
      </c>
      <c r="AZ3" s="1">
        <f>AVERAGE(AZ5,AZ7,AZ9,AZ11,AZ13,AZ15,AZ17,AZ19,AZ21,AZ23,AZ25,AZ27,AZ29,AZ31,AZ33,AZ35,AZ37,AZ38,AZ40,AZ42,AZ44,AZ46,AZ48,AZ50)</f>
        <v/>
      </c>
      <c r="BA3" s="1">
        <f>AVERAGE(BA5,BA7,BA9,BA11,BA13,BA15,BA17,BA19,BA21,BA23,BA25,BA27,BA29,BA31,BA33,BA35,BA37,BA38,BA40,BA42,BA44,BA46,BA48,BA50)</f>
        <v/>
      </c>
      <c r="BB3" s="1">
        <f>IFERROR(SUM(BA5,BA7,BA9,BA11,BA13,BA15,BA17,BA19,BA21,BA23,BA25,BA27,BA29,BA31,BA33,BA35,BA37,BA38,BA40,BA42,BA44,BA46,BA48,BA50)/SUM(AZ5,AZ7,AZ9,AZ11,AZ13,AZ15,AZ17,AZ19,AZ21,AZ23,AZ25,AZ27,AZ29,AZ31,AZ33,AZ35,AZ37,AZ38,AZ40,AZ42,AZ44,AZ46,AZ48,AZ50)*100,0)</f>
        <v/>
      </c>
      <c r="BC3" s="1">
        <f>AVERAGE(BC5,BC7,BC9,BC11,BC13,BC15,BC17,BC19,BC21,BC23,BC25,BC27,BC29,BC31,BC33,BC35,BC37,BC38,BC40,BC42,BC44,BC46,BC48,BC50)</f>
        <v/>
      </c>
      <c r="BD3" s="1">
        <f>AVERAGE(BD5,BD7,BD9,BD11,BD13,BD15,BD17,BD19,BD21,BD23,BD25,BD27,BD29,BD31,BD33,BD35,BD37,BD38,BD40,BD42,BD44,BD46,BD48,BD50)</f>
        <v/>
      </c>
      <c r="BE3" s="1">
        <f>IFERROR(SUM(BD5,BD7,BD9,BD11,BD13,BD15,BD17,BD19,BD21,BD23,BD25,BD27,BD29,BD31,BD33,BD35,BD37,BD38,BD40,BD42,BD44,BD46,BD48,BD50)/SUM(BC5,BC7,BC9,BC11,BC13,BC15,BC17,BC19,BC21,BC23,BC25,BC27,BC29,BC31,BC33,BC35,BC37,BC38,BC40,BC42,BC44,BC46,BC48,BC50)*100,0)</f>
        <v/>
      </c>
      <c r="BF3" s="1">
        <f>AVERAGE(BF5,BF7,BF9,BF11,BF13,BF15,BF17,BF19,BF21,BF23,BF25,BF27,BF29,BF31,BF33,BF35,BF37,BF38,BF40,BF42,BF44,BF46,BF48,BF50)</f>
        <v/>
      </c>
      <c r="BG3" s="1">
        <f>AVERAGE(BG5,BG7,BG9,BG11,BG13,BG15,BG17,BG19,BG21,BG23,BG25,BG27,BG29,BG31,BG33,BG35,BG37,BG38,BG40,BG42,BG44,BG46,BG48,BG50)</f>
        <v/>
      </c>
      <c r="BH3" s="1">
        <f>IFERROR(SUM(BG5,BG7,BG9,BG11,BG13,BG15,BG17,BG19,BG21,BG23,BG25,BG27,BG29,BG31,BG33,BG35,BG37,BG38,BG40,BG42,BG44,BG46,BG48,BG50)/SUM(BF5,BF7,BF9,BF11,BF13,BF15,BF17,BF19,BF21,BF23,BF25,BF27,BF29,BF31,BF33,BF35,BF37,BF38,BF40,BF42,BF44,BF46,BF48,BF50)*100,0)</f>
        <v/>
      </c>
      <c r="BI3" s="1">
        <f>AVERAGE(BI5,BI7,BI9,BI11,BI13,BI15,BI17,BI19,BI21,BI23,BI25,BI27,BI29,BI31,BI33,BI35,BI37,BI38,BI40,BI42,BI44,BI46,BI48,BI50)</f>
        <v/>
      </c>
      <c r="BJ3" s="1">
        <f>AVERAGE(BJ5,BJ7,BJ9,BJ11,BJ13,BJ15,BJ17,BJ19,BJ21,BJ23,BJ25,BJ27,BJ29,BJ31,BJ33,BJ35,BJ37,BJ38,BJ40,BJ42,BJ44,BJ46,BJ48,BJ50)</f>
        <v/>
      </c>
      <c r="BK3" s="1">
        <f>AVERAGE(BK5,BK7,BK9,BK11,BK13,BK15,BK17,BK19,BK21,BK23,BK25,BK27,BK29,BK31,BK33,BK35,BK37,BK38,BK40,BK42,BK44,BK46,BK48,BK50)</f>
        <v/>
      </c>
      <c r="BL3" s="1">
        <f>AVERAGE(BL5,BL7,BL9,BL11,BL13,BL15,BL17,BL19,BL21,BL23,BL25,BL27,BL29,BL31,BL33,BL35,BL37,BL38,BL40,BL42,BL44,BL46,BL48,BL50)</f>
        <v/>
      </c>
      <c r="BM3" s="1">
        <f>AVERAGE(BM5,BM7,BM9,BM11,BM13,BM15,BM17,BM19,BM21,BM23,BM25,BM27,BM29,BM31,BM33,BM35,BM37,BM38,BM40,BM42,BM44,BM46,BM48,BM50)</f>
        <v/>
      </c>
      <c r="BN3" s="1">
        <f>AVERAGE(BN5,BN7,BN9,BN11,BN13,BN15,BN17,BN19,BN21,BN23,BN25,BN27,BN29,BN31,BN33,BN35,BN37,BN38,BN40,BN42,BN44,BN46,BN48,BN50)</f>
        <v/>
      </c>
      <c r="BO3" s="1">
        <f>AVERAGE(BO5,BO7,BO9,BO11,BO13,BO15,BO17,BO19,BO21,BO23,BO25,BO27,BO29,BO31,BO33,BO35,BO37,BO38,BO40,BO42,BO44,BO46,BO48,BO50)</f>
        <v/>
      </c>
      <c r="BP3" s="1">
        <f>IFERROR(SUM(BO5,BO7,BO9,BO11,BO13,BO15,BO17,BO19,BO21,BO23,BO25,BO27,BO29,BO31,BO33,BO35,BO37,BO38,BO40,BO42,BO44,BO46,BO48,BO50)/SUM(BN5,BN7,BN9,BN11,BN13,BN15,BN17,BN19,BN21,BN23,BN25,BN27,BN29,BN31,BN33,BN35,BN37,BN38,BN40,BN42,BN44,BN46,BN48,BN50)*100,0)</f>
        <v/>
      </c>
      <c r="BQ3" s="1">
        <f>AVERAGE(BQ5,BQ7,BQ9,BQ11,BQ13,BQ15,BQ17,BQ19,BQ21,BQ23,BQ25,BQ27,BQ29,BQ31,BQ33,BQ35,BQ37,BQ38,BQ40,BQ42,BQ44,BQ46,BQ48,BQ50)</f>
        <v/>
      </c>
      <c r="BR3" s="1">
        <f>AVERAGE(BR5,BR7,BR9,BR11,BR13,BR15,BR17,BR19,BR21,BR23,BR25,BR27,BR29,BR31,BR33,BR35,BR37,BR38,BR40,BR42,BR44,BR46,BR48,BR50)</f>
        <v/>
      </c>
      <c r="BS3" s="1">
        <f>IFERROR(SUM(BR5,BR7,BR9,BR11,BR13,BR15,BR17,BR19,BR21,BR23,BR25,BR27,BR29,BR31,BR33,BR35,BR37,BR38,BR40,BR42,BR44,BR46,BR48,BR50)/SUM(BQ5,BQ7,BQ9,BQ11,BQ13,BQ15,BQ17,BQ19,BQ21,BQ23,BQ25,BQ27,BQ29,BQ31,BQ33,BQ35,BQ37,BQ38,BQ40,BQ42,BQ44,BQ46,BQ48,BQ50)*100,0)</f>
        <v/>
      </c>
      <c r="BT3" s="1">
        <f>AVERAGE(BT5,BT7,BT9,BT11,BT13,BT15,BT17,BT19,BT21,BT23,BT25,BT27,BT29,BT31,BT33,BT35,BT37,BT38,BT40,BT42,BT44,BT46,BT48,BT50)</f>
        <v/>
      </c>
      <c r="BU3" s="1">
        <f>AVERAGE(BU5,BU7,BU9,BU11,BU13,BU15,BU17,BU19,BU21,BU23,BU25,BU27,BU29,BU31,BU33,BU35,BU37,BU38,BU40,BU42,BU44,BU46,BU48,BU50)</f>
        <v/>
      </c>
      <c r="BV3" s="1">
        <f>IFERROR(SUM(BU5,BU7,BU9,BU11,BU13,BU15,BU17,BU19,BU21,BU23,BU25,BU27,BU29,BU31,BU33,BU35,BU37,BU38,BU40,BU42,BU44,BU46,BU48,BU50)/SUM(BT5,BT7,BT9,BT11,BT13,BT15,BT17,BT19,BT21,BT23,BT25,BT27,BT29,BT31,BT33,BT35,BT37,BT38,BT40,BT42,BT44,BT46,BT48,BT50)*100,0)</f>
        <v/>
      </c>
      <c r="BW3" s="1">
        <f>AVERAGE(BW5,BW7,BW9,BW11,BW13,BW15,BW17,BW19,BW21,BW23,BW25,BW27,BW29,BW31,BW33,BW35,BW37,BW38,BW40,BW42,BW44,BW46,BW48,BW50)</f>
        <v/>
      </c>
      <c r="BX3" s="1">
        <f>AVERAGE(BX5,BX7,BX9,BX11,BX13,BX15,BX17,BX19,BX21,BX23,BX25,BX27,BX29,BX31,BX33,BX35,BX37,BX38,BX40,BX42,BX44,BX46,BX48,BX50)</f>
        <v/>
      </c>
      <c r="BY3" s="1">
        <f>IFERROR(SUM(BX5,BX7,BX9,BX11,BX13,BX15,BX17,BX19,BX21,BX23,BX25,BX27,BX29,BX31,BX33,BX35,BX37,BX38,BX40,BX42,BX44,BX46,BX48,BX50)/SUM(BW5,BW7,BW9,BW11,BW13,BW15,BW17,BW19,BW21,BW23,BW25,BW27,BW29,BW31,BW33,BW35,BW37,BW38,BW40,BW42,BW44,BW46,BW48,BW50)*100,0)</f>
        <v/>
      </c>
      <c r="BZ3" s="1">
        <f>AVERAGE(BZ5,BZ7,BZ9,BZ11,BZ13,BZ15,BZ17,BZ19,BZ21,BZ23,BZ25,BZ27,BZ29,BZ31,BZ33,BZ35,BZ37,BZ38,BZ40,BZ42,BZ44,BZ46,BZ48,BZ50)</f>
        <v/>
      </c>
      <c r="CA3" s="1">
        <f>AVERAGE(CA5,CA7,CA9,CA11,CA13,CA15,CA17,CA19,CA21,CA23,CA25,CA27,CA29,CA31,CA33,CA35,CA37,CA38,CA40,CA42,CA44,CA46,CA48,CA50)</f>
        <v/>
      </c>
      <c r="CB3" s="1">
        <f>IFERROR(SUM(CA5,CA7,CA9,CA11,CA13,CA15,CA17,CA19,CA21,CA23,CA25,CA27,CA29,CA31,CA33,CA35,CA37,CA38,CA40,CA42,CA44,CA46,CA48,CA50)/SUM(BZ5,BZ7,BZ9,BZ11,BZ13,BZ15,BZ17,BZ19,BZ21,BZ23,BZ25,BZ27,BZ29,BZ31,BZ33,BZ35,BZ37,BZ38,BZ40,BZ42,BZ44,BZ46,BZ48,BZ50)*100,0)</f>
        <v/>
      </c>
      <c r="CC3" s="1">
        <f>AVERAGE(CC5,CC7,CC9,CC11,CC13,CC15,CC17,CC19,CC21,CC23,CC25,CC27,CC29,CC31,CC33,CC35,CC37,CC38,CC40,CC42,CC44,CC46,CC48,CC50)</f>
        <v/>
      </c>
    </row>
    <row r="4" ht="12" customHeight="1" s="2">
      <c r="A4" t="inlineStr">
        <is>
          <t>2026-07-26</t>
        </is>
      </c>
      <c r="B4" t="inlineStr">
        <is>
          <t>Perth - Subiaco 4:2</t>
        </is>
      </c>
      <c r="C4" t="inlineStr">
        <is>
          <t>Australia. Western Australia NPL Women</t>
        </is>
      </c>
      <c r="D4" t="n">
        <v>100</v>
      </c>
      <c r="E4" t="inlineStr">
        <is>
          <t>Perth</t>
        </is>
      </c>
      <c r="F4" t="inlineStr">
        <is>
          <t>4-3-3 (100.0%)</t>
        </is>
      </c>
      <c r="G4" t="n">
        <v>4</v>
      </c>
      <c r="H4" t="n">
        <v>2.31</v>
      </c>
      <c r="I4" t="n">
        <v>14</v>
      </c>
      <c r="J4" t="n">
        <v>7</v>
      </c>
      <c r="K4" t="n">
        <v>50</v>
      </c>
      <c r="L4" t="n">
        <v>476</v>
      </c>
      <c r="M4" t="n">
        <v>364</v>
      </c>
      <c r="N4" t="n">
        <v>76.47</v>
      </c>
      <c r="O4" t="n">
        <v>62.97</v>
      </c>
      <c r="P4" t="n">
        <v>140</v>
      </c>
      <c r="Q4" t="n">
        <v>17</v>
      </c>
      <c r="R4" t="n">
        <v>59</v>
      </c>
      <c r="S4" t="n">
        <v>64</v>
      </c>
      <c r="T4" t="n">
        <v>111</v>
      </c>
      <c r="U4" t="n">
        <v>49</v>
      </c>
      <c r="V4" t="n">
        <v>54</v>
      </c>
      <c r="W4" t="n">
        <v>8</v>
      </c>
      <c r="X4" t="n">
        <v>248</v>
      </c>
      <c r="Y4" t="n">
        <v>123</v>
      </c>
      <c r="Z4" t="n">
        <v>49.6</v>
      </c>
      <c r="AA4" t="n">
        <v>6</v>
      </c>
      <c r="AB4" t="n">
        <v>2</v>
      </c>
      <c r="AC4" t="n">
        <v>33.33</v>
      </c>
      <c r="AD4" t="n">
        <v>41</v>
      </c>
      <c r="AE4" t="n">
        <v>9</v>
      </c>
      <c r="AF4" t="n">
        <v>21.95</v>
      </c>
      <c r="AG4" t="n">
        <v>16</v>
      </c>
      <c r="AH4" t="n">
        <v>4</v>
      </c>
      <c r="AI4" t="n">
        <v>25</v>
      </c>
      <c r="AJ4" t="n">
        <v>1</v>
      </c>
      <c r="AK4" t="n">
        <v>1</v>
      </c>
      <c r="AL4" t="n">
        <v>100</v>
      </c>
      <c r="AM4" t="n">
        <v>10</v>
      </c>
      <c r="AN4" t="n">
        <v>4</v>
      </c>
      <c r="AO4" t="n">
        <v>40</v>
      </c>
      <c r="AP4" t="n">
        <v>5</v>
      </c>
      <c r="AQ4" t="n">
        <v>10</v>
      </c>
      <c r="AR4" t="n">
        <v>17</v>
      </c>
      <c r="AS4" t="n">
        <v>106</v>
      </c>
      <c r="AT4" t="n">
        <v>30</v>
      </c>
      <c r="AU4" t="n">
        <v>28.3</v>
      </c>
      <c r="AV4" t="n">
        <v>2</v>
      </c>
      <c r="AW4" t="n">
        <v>12</v>
      </c>
      <c r="AX4" t="n">
        <v>10</v>
      </c>
      <c r="AY4" t="n">
        <v>83.33</v>
      </c>
      <c r="AZ4" t="n">
        <v>93</v>
      </c>
      <c r="BA4" t="n">
        <v>69</v>
      </c>
      <c r="BB4" t="n">
        <v>74.19</v>
      </c>
      <c r="BC4" t="n">
        <v>26</v>
      </c>
      <c r="BD4" t="n">
        <v>16</v>
      </c>
      <c r="BE4" t="n">
        <v>61.54</v>
      </c>
      <c r="BF4" t="n">
        <v>3</v>
      </c>
      <c r="BG4" t="n">
        <v>2</v>
      </c>
      <c r="BH4" t="n">
        <v>66.67</v>
      </c>
      <c r="BI4" t="n">
        <v>52</v>
      </c>
      <c r="BJ4" t="n">
        <v>11</v>
      </c>
      <c r="BK4" t="n">
        <v>12</v>
      </c>
      <c r="BL4" t="n">
        <v>0</v>
      </c>
      <c r="BM4" t="n">
        <v>0</v>
      </c>
      <c r="BN4" t="n">
        <v>166</v>
      </c>
      <c r="BO4" t="n">
        <v>100</v>
      </c>
      <c r="BP4" t="n">
        <v>60.24</v>
      </c>
      <c r="BQ4" t="n">
        <v>60</v>
      </c>
      <c r="BR4" t="n">
        <v>23</v>
      </c>
      <c r="BS4" t="n">
        <v>38.33</v>
      </c>
      <c r="BT4" t="n">
        <v>58</v>
      </c>
      <c r="BU4" t="n">
        <v>34</v>
      </c>
      <c r="BV4" t="n">
        <v>58.62</v>
      </c>
      <c r="BW4" t="n">
        <v>87</v>
      </c>
      <c r="BX4" t="n">
        <v>45</v>
      </c>
      <c r="BY4" t="n">
        <v>51.72</v>
      </c>
      <c r="BZ4" t="n">
        <v>39</v>
      </c>
      <c r="CA4" t="n">
        <v>29</v>
      </c>
      <c r="CB4" t="n">
        <v>74.36</v>
      </c>
      <c r="CC4" t="n">
        <v>3.04</v>
      </c>
    </row>
    <row r="5" ht="12" customHeight="1" s="2">
      <c r="E5" t="inlineStr">
        <is>
          <t>Subiaco</t>
        </is>
      </c>
      <c r="F5" t="inlineStr">
        <is>
          <t>4-4-2 (100.0%)</t>
        </is>
      </c>
      <c r="G5" t="n">
        <v>2</v>
      </c>
      <c r="H5" t="n">
        <v>1.43</v>
      </c>
      <c r="I5" t="n">
        <v>12</v>
      </c>
      <c r="J5" t="n">
        <v>6</v>
      </c>
      <c r="K5" t="n">
        <v>50</v>
      </c>
      <c r="L5" t="n">
        <v>245</v>
      </c>
      <c r="M5" t="n">
        <v>162</v>
      </c>
      <c r="N5" t="n">
        <v>66.12</v>
      </c>
      <c r="O5" t="n">
        <v>37.03</v>
      </c>
      <c r="P5" t="n">
        <v>138</v>
      </c>
      <c r="Q5" t="n">
        <v>22</v>
      </c>
      <c r="R5" t="n">
        <v>60</v>
      </c>
      <c r="S5" t="n">
        <v>56</v>
      </c>
      <c r="T5" t="n">
        <v>97</v>
      </c>
      <c r="U5" t="n">
        <v>38</v>
      </c>
      <c r="V5" t="n">
        <v>43</v>
      </c>
      <c r="W5" t="n">
        <v>16</v>
      </c>
      <c r="X5" t="n">
        <v>248</v>
      </c>
      <c r="Y5" t="n">
        <v>118</v>
      </c>
      <c r="Z5" t="n">
        <v>47.58</v>
      </c>
      <c r="AA5" t="n">
        <v>5</v>
      </c>
      <c r="AB5" t="n">
        <v>1</v>
      </c>
      <c r="AC5" t="n">
        <v>20</v>
      </c>
      <c r="AD5" t="n">
        <v>27</v>
      </c>
      <c r="AE5" t="n">
        <v>9</v>
      </c>
      <c r="AF5" t="n">
        <v>33.33</v>
      </c>
      <c r="AG5" t="n">
        <v>26</v>
      </c>
      <c r="AH5" t="n">
        <v>3</v>
      </c>
      <c r="AI5" t="n">
        <v>11.54</v>
      </c>
      <c r="AJ5" t="n">
        <v>2</v>
      </c>
      <c r="AK5" t="n">
        <v>1</v>
      </c>
      <c r="AL5" t="n">
        <v>50</v>
      </c>
      <c r="AM5" t="n">
        <v>10</v>
      </c>
      <c r="AN5" t="n">
        <v>2</v>
      </c>
      <c r="AO5" t="n">
        <v>20</v>
      </c>
      <c r="AP5" t="n">
        <v>4</v>
      </c>
      <c r="AQ5" t="n">
        <v>4</v>
      </c>
      <c r="AR5" t="n">
        <v>11</v>
      </c>
      <c r="AS5" t="n">
        <v>93</v>
      </c>
      <c r="AT5" t="n">
        <v>24</v>
      </c>
      <c r="AU5" t="n">
        <v>25.81</v>
      </c>
      <c r="AV5" t="n">
        <v>4</v>
      </c>
      <c r="AW5" t="n">
        <v>14</v>
      </c>
      <c r="AX5" t="n">
        <v>8</v>
      </c>
      <c r="AY5" t="n">
        <v>57.14</v>
      </c>
      <c r="AZ5" t="n">
        <v>106</v>
      </c>
      <c r="BA5" t="n">
        <v>76</v>
      </c>
      <c r="BB5" t="n">
        <v>71.7</v>
      </c>
      <c r="BC5" t="n">
        <v>26</v>
      </c>
      <c r="BD5" t="n">
        <v>10</v>
      </c>
      <c r="BE5" t="n">
        <v>38.46</v>
      </c>
      <c r="BF5" t="n">
        <v>3</v>
      </c>
      <c r="BG5" t="n">
        <v>2</v>
      </c>
      <c r="BH5" t="n">
        <v>66.67</v>
      </c>
      <c r="BI5" t="n">
        <v>49</v>
      </c>
      <c r="BJ5" t="n">
        <v>20</v>
      </c>
      <c r="BK5" t="n">
        <v>11</v>
      </c>
      <c r="BL5" t="n">
        <v>0</v>
      </c>
      <c r="BM5" t="n">
        <v>0</v>
      </c>
      <c r="BN5" t="n">
        <v>118</v>
      </c>
      <c r="BO5" t="n">
        <v>61</v>
      </c>
      <c r="BP5" t="n">
        <v>51.69</v>
      </c>
      <c r="BQ5" t="n">
        <v>53</v>
      </c>
      <c r="BR5" t="n">
        <v>23</v>
      </c>
      <c r="BS5" t="n">
        <v>43.4</v>
      </c>
      <c r="BT5" t="n">
        <v>50</v>
      </c>
      <c r="BU5" t="n">
        <v>29</v>
      </c>
      <c r="BV5" t="n">
        <v>58</v>
      </c>
      <c r="BW5" t="n">
        <v>57</v>
      </c>
      <c r="BX5" t="n">
        <v>36</v>
      </c>
      <c r="BY5" t="n">
        <v>63.16</v>
      </c>
      <c r="BZ5" t="n">
        <v>25</v>
      </c>
      <c r="CA5" t="n">
        <v>19</v>
      </c>
      <c r="CB5" t="n">
        <v>76</v>
      </c>
      <c r="CC5" t="n">
        <v>8.640000000000001</v>
      </c>
    </row>
    <row r="6" ht="12" customHeight="1" s="2">
      <c r="A6" t="inlineStr">
        <is>
          <t>2026-07-17</t>
        </is>
      </c>
      <c r="B6" t="inlineStr">
        <is>
          <t>Sorrento - Perth 0:1</t>
        </is>
      </c>
      <c r="C6" t="inlineStr">
        <is>
          <t>Australia. Western Australia NPL Women</t>
        </is>
      </c>
      <c r="D6" t="n">
        <v>95</v>
      </c>
      <c r="E6" t="inlineStr">
        <is>
          <t>Perth</t>
        </is>
      </c>
      <c r="F6" t="inlineStr">
        <is>
          <t>4-2-3-1 (100.0%)</t>
        </is>
      </c>
      <c r="G6" t="n">
        <v>1</v>
      </c>
      <c r="H6" t="n">
        <v>2.78</v>
      </c>
      <c r="I6" t="n">
        <v>26</v>
      </c>
      <c r="J6" t="n">
        <v>6</v>
      </c>
      <c r="K6" t="n">
        <v>23.08</v>
      </c>
      <c r="L6" t="n">
        <v>575</v>
      </c>
      <c r="M6" t="n">
        <v>441</v>
      </c>
      <c r="N6" t="n">
        <v>76.7</v>
      </c>
      <c r="O6" t="n">
        <v>65.3</v>
      </c>
      <c r="P6" t="n">
        <v>150</v>
      </c>
      <c r="Q6" t="n">
        <v>7</v>
      </c>
      <c r="R6" t="n">
        <v>43</v>
      </c>
      <c r="S6" t="n">
        <v>100</v>
      </c>
      <c r="T6" t="n">
        <v>109</v>
      </c>
      <c r="U6" t="n">
        <v>24</v>
      </c>
      <c r="V6" t="n">
        <v>46</v>
      </c>
      <c r="W6" t="n">
        <v>39</v>
      </c>
      <c r="X6" t="n">
        <v>174</v>
      </c>
      <c r="Y6" t="n">
        <v>86</v>
      </c>
      <c r="Z6" t="n">
        <v>49.43</v>
      </c>
      <c r="AA6" t="n">
        <v>14</v>
      </c>
      <c r="AB6" t="n">
        <v>2</v>
      </c>
      <c r="AC6" t="n">
        <v>14.29</v>
      </c>
      <c r="AD6" t="n">
        <v>54</v>
      </c>
      <c r="AE6" t="n">
        <v>23</v>
      </c>
      <c r="AF6" t="n">
        <v>42.59</v>
      </c>
      <c r="AG6" t="n">
        <v>16</v>
      </c>
      <c r="AH6" t="n">
        <v>3</v>
      </c>
      <c r="AI6" t="n">
        <v>18.75</v>
      </c>
      <c r="AJ6" t="n">
        <v>6</v>
      </c>
      <c r="AK6" t="n">
        <v>2</v>
      </c>
      <c r="AL6" t="n">
        <v>33.33</v>
      </c>
      <c r="AM6" t="n">
        <v>32</v>
      </c>
      <c r="AN6" t="n">
        <v>7</v>
      </c>
      <c r="AO6" t="n">
        <v>21.88</v>
      </c>
      <c r="AP6" t="n">
        <v>7</v>
      </c>
      <c r="AQ6" t="n">
        <v>9</v>
      </c>
      <c r="AR6" t="n">
        <v>30</v>
      </c>
      <c r="AS6" t="n">
        <v>72</v>
      </c>
      <c r="AT6" t="n">
        <v>28</v>
      </c>
      <c r="AU6" t="n">
        <v>38.89</v>
      </c>
      <c r="AV6" t="n">
        <v>0</v>
      </c>
      <c r="AW6" t="n">
        <v>2</v>
      </c>
      <c r="AX6" t="n">
        <v>1</v>
      </c>
      <c r="AY6" t="n">
        <v>50</v>
      </c>
      <c r="AZ6" t="n">
        <v>66</v>
      </c>
      <c r="BA6" t="n">
        <v>41</v>
      </c>
      <c r="BB6" t="n">
        <v>62.12</v>
      </c>
      <c r="BC6" t="n">
        <v>12</v>
      </c>
      <c r="BD6" t="n">
        <v>4</v>
      </c>
      <c r="BE6" t="n">
        <v>33.33</v>
      </c>
      <c r="BF6" t="n">
        <v>2</v>
      </c>
      <c r="BG6" t="n">
        <v>2</v>
      </c>
      <c r="BH6" t="n">
        <v>100</v>
      </c>
      <c r="BI6" t="n">
        <v>46</v>
      </c>
      <c r="BJ6" t="n">
        <v>10</v>
      </c>
      <c r="BK6" t="n">
        <v>10</v>
      </c>
      <c r="BL6" t="n">
        <v>2</v>
      </c>
      <c r="BM6" t="n">
        <v>0</v>
      </c>
      <c r="BN6" t="n">
        <v>188</v>
      </c>
      <c r="BO6" t="n">
        <v>127</v>
      </c>
      <c r="BP6" t="n">
        <v>67.55</v>
      </c>
      <c r="BQ6" t="n">
        <v>42</v>
      </c>
      <c r="BR6" t="n">
        <v>13</v>
      </c>
      <c r="BS6" t="n">
        <v>30.95</v>
      </c>
      <c r="BT6" t="n">
        <v>75</v>
      </c>
      <c r="BU6" t="n">
        <v>45</v>
      </c>
      <c r="BV6" t="n">
        <v>60</v>
      </c>
      <c r="BW6" t="n">
        <v>78</v>
      </c>
      <c r="BX6" t="n">
        <v>60</v>
      </c>
      <c r="BY6" t="n">
        <v>76.92</v>
      </c>
      <c r="BZ6" t="n">
        <v>29</v>
      </c>
      <c r="CA6" t="n">
        <v>23</v>
      </c>
      <c r="CB6" t="n">
        <v>79.31</v>
      </c>
      <c r="CC6" t="n">
        <v>4.89</v>
      </c>
    </row>
    <row r="7" ht="12" customHeight="1" s="2">
      <c r="E7" t="inlineStr">
        <is>
          <t>Sorrento</t>
        </is>
      </c>
      <c r="F7" t="inlineStr">
        <is>
          <t>4-3-3 (100.0%)</t>
        </is>
      </c>
      <c r="G7" t="n">
        <v>0</v>
      </c>
      <c r="H7" t="n">
        <v>0.03</v>
      </c>
      <c r="I7" t="n">
        <v>2</v>
      </c>
      <c r="J7" t="n">
        <v>1</v>
      </c>
      <c r="K7" t="n">
        <v>50</v>
      </c>
      <c r="L7" t="n">
        <v>267</v>
      </c>
      <c r="M7" t="n">
        <v>155</v>
      </c>
      <c r="N7" t="n">
        <v>58.05</v>
      </c>
      <c r="O7" t="n">
        <v>34.7</v>
      </c>
      <c r="P7" t="n">
        <v>169</v>
      </c>
      <c r="Q7" t="n">
        <v>65</v>
      </c>
      <c r="R7" t="n">
        <v>66</v>
      </c>
      <c r="S7" t="n">
        <v>38</v>
      </c>
      <c r="T7" t="n">
        <v>85</v>
      </c>
      <c r="U7" t="n">
        <v>55</v>
      </c>
      <c r="V7" t="n">
        <v>27</v>
      </c>
      <c r="W7" t="n">
        <v>3</v>
      </c>
      <c r="X7" t="n">
        <v>174</v>
      </c>
      <c r="Y7" t="n">
        <v>83</v>
      </c>
      <c r="Z7" t="n">
        <v>47.7</v>
      </c>
      <c r="AA7" t="n">
        <v>2</v>
      </c>
      <c r="AB7" t="n">
        <v>1</v>
      </c>
      <c r="AC7" t="n">
        <v>50</v>
      </c>
      <c r="AD7" t="n">
        <v>12</v>
      </c>
      <c r="AE7" t="n">
        <v>2</v>
      </c>
      <c r="AF7" t="n">
        <v>16.67</v>
      </c>
      <c r="AG7" t="n">
        <v>30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2</v>
      </c>
      <c r="AN7" t="n">
        <v>0</v>
      </c>
      <c r="AO7" t="n">
        <v>0</v>
      </c>
      <c r="AP7" t="n">
        <v>0</v>
      </c>
      <c r="AQ7" t="n">
        <v>1</v>
      </c>
      <c r="AR7" t="n">
        <v>1</v>
      </c>
      <c r="AS7" t="n">
        <v>66</v>
      </c>
      <c r="AT7" t="n">
        <v>25</v>
      </c>
      <c r="AU7" t="n">
        <v>37.88</v>
      </c>
      <c r="AV7" t="n">
        <v>1</v>
      </c>
      <c r="AW7" t="n">
        <v>26</v>
      </c>
      <c r="AX7" t="n">
        <v>6</v>
      </c>
      <c r="AY7" t="n">
        <v>23.08</v>
      </c>
      <c r="AZ7" t="n">
        <v>72</v>
      </c>
      <c r="BA7" t="n">
        <v>44</v>
      </c>
      <c r="BB7" t="n">
        <v>61.11</v>
      </c>
      <c r="BC7" t="n">
        <v>12</v>
      </c>
      <c r="BD7" t="n">
        <v>5</v>
      </c>
      <c r="BE7" t="n">
        <v>41.67</v>
      </c>
      <c r="BF7" t="n">
        <v>0</v>
      </c>
      <c r="BG7" t="n">
        <v>0</v>
      </c>
      <c r="BH7" t="n">
        <v>0</v>
      </c>
      <c r="BI7" t="n">
        <v>64</v>
      </c>
      <c r="BJ7" t="n">
        <v>27</v>
      </c>
      <c r="BK7" t="n">
        <v>5</v>
      </c>
      <c r="BL7" t="n">
        <v>2</v>
      </c>
      <c r="BM7" t="n">
        <v>0</v>
      </c>
      <c r="BN7" t="n">
        <v>128</v>
      </c>
      <c r="BO7" t="n">
        <v>62</v>
      </c>
      <c r="BP7" t="n">
        <v>48.44</v>
      </c>
      <c r="BQ7" t="n">
        <v>51</v>
      </c>
      <c r="BR7" t="n">
        <v>17</v>
      </c>
      <c r="BS7" t="n">
        <v>33.33</v>
      </c>
      <c r="BT7" t="n">
        <v>32</v>
      </c>
      <c r="BU7" t="n">
        <v>9</v>
      </c>
      <c r="BV7" t="n">
        <v>28.13</v>
      </c>
      <c r="BW7" t="n">
        <v>67</v>
      </c>
      <c r="BX7" t="n">
        <v>14</v>
      </c>
      <c r="BY7" t="n">
        <v>20.9</v>
      </c>
      <c r="BZ7" t="n">
        <v>25</v>
      </c>
      <c r="CA7" t="n">
        <v>16</v>
      </c>
      <c r="CB7" t="n">
        <v>64</v>
      </c>
      <c r="CC7" t="n">
        <v>19.17</v>
      </c>
    </row>
    <row r="8" ht="12" customHeight="1" s="2">
      <c r="A8" t="inlineStr">
        <is>
          <t>2026-07-11</t>
        </is>
      </c>
      <c r="B8" t="inlineStr">
        <is>
          <t>Perth - UWA Nedlands 4:1</t>
        </is>
      </c>
      <c r="C8" t="inlineStr">
        <is>
          <t>Australia. Western Australia NPL Women</t>
        </is>
      </c>
      <c r="D8" t="n">
        <v>97</v>
      </c>
      <c r="E8" t="inlineStr">
        <is>
          <t>Perth</t>
        </is>
      </c>
      <c r="F8" t="inlineStr">
        <is>
          <t>4-2-3-1 (100.0%)</t>
        </is>
      </c>
      <c r="G8" t="n">
        <v>4</v>
      </c>
      <c r="H8" t="n">
        <v>4.64</v>
      </c>
      <c r="I8" t="n">
        <v>24</v>
      </c>
      <c r="J8" t="n">
        <v>12</v>
      </c>
      <c r="K8" t="n">
        <v>50</v>
      </c>
      <c r="L8" t="n">
        <v>417</v>
      </c>
      <c r="M8" t="n">
        <v>291</v>
      </c>
      <c r="N8" t="n">
        <v>69.78</v>
      </c>
      <c r="O8" t="n">
        <v>57.26</v>
      </c>
      <c r="P8" t="n">
        <v>151</v>
      </c>
      <c r="Q8" t="n">
        <v>15</v>
      </c>
      <c r="R8" t="n">
        <v>48</v>
      </c>
      <c r="S8" t="n">
        <v>88</v>
      </c>
      <c r="T8" t="n">
        <v>111</v>
      </c>
      <c r="U8" t="n">
        <v>31</v>
      </c>
      <c r="V8" t="n">
        <v>52</v>
      </c>
      <c r="W8" t="n">
        <v>28</v>
      </c>
      <c r="X8" t="n">
        <v>217</v>
      </c>
      <c r="Y8" t="n">
        <v>91</v>
      </c>
      <c r="Z8" t="n">
        <v>41.94</v>
      </c>
      <c r="AA8" t="n">
        <v>9</v>
      </c>
      <c r="AB8" t="n">
        <v>6</v>
      </c>
      <c r="AC8" t="n">
        <v>66.67</v>
      </c>
      <c r="AD8" t="n">
        <v>55</v>
      </c>
      <c r="AE8" t="n">
        <v>14</v>
      </c>
      <c r="AF8" t="n">
        <v>25.45</v>
      </c>
      <c r="AG8" t="n">
        <v>21</v>
      </c>
      <c r="AH8" t="n">
        <v>6</v>
      </c>
      <c r="AI8" t="n">
        <v>28.57</v>
      </c>
      <c r="AJ8" t="n">
        <v>9</v>
      </c>
      <c r="AK8" t="n">
        <v>6</v>
      </c>
      <c r="AL8" t="n">
        <v>66.67</v>
      </c>
      <c r="AM8" t="n">
        <v>22</v>
      </c>
      <c r="AN8" t="n">
        <v>12</v>
      </c>
      <c r="AO8" t="n">
        <v>54.55</v>
      </c>
      <c r="AP8" t="n">
        <v>12</v>
      </c>
      <c r="AQ8" t="n">
        <v>12</v>
      </c>
      <c r="AR8" t="n">
        <v>33</v>
      </c>
      <c r="AS8" t="n">
        <v>97</v>
      </c>
      <c r="AT8" t="n">
        <v>27</v>
      </c>
      <c r="AU8" t="n">
        <v>27.84</v>
      </c>
      <c r="AV8" t="n">
        <v>1</v>
      </c>
      <c r="AW8" t="n">
        <v>6</v>
      </c>
      <c r="AX8" t="n">
        <v>2</v>
      </c>
      <c r="AY8" t="n">
        <v>33.33</v>
      </c>
      <c r="AZ8" t="n">
        <v>75</v>
      </c>
      <c r="BA8" t="n">
        <v>44</v>
      </c>
      <c r="BB8" t="n">
        <v>58.67</v>
      </c>
      <c r="BC8" t="n">
        <v>22</v>
      </c>
      <c r="BD8" t="n">
        <v>11</v>
      </c>
      <c r="BE8" t="n">
        <v>50</v>
      </c>
      <c r="BF8" t="n">
        <v>2</v>
      </c>
      <c r="BG8" t="n">
        <v>0</v>
      </c>
      <c r="BH8" t="n">
        <v>0</v>
      </c>
      <c r="BI8" t="n">
        <v>38</v>
      </c>
      <c r="BJ8" t="n">
        <v>11</v>
      </c>
      <c r="BK8" t="n">
        <v>11</v>
      </c>
      <c r="BL8" t="n">
        <v>2</v>
      </c>
      <c r="BM8" t="n">
        <v>0</v>
      </c>
      <c r="BN8" t="n">
        <v>194</v>
      </c>
      <c r="BO8" t="n">
        <v>108</v>
      </c>
      <c r="BP8" t="n">
        <v>55.67</v>
      </c>
      <c r="BQ8" t="n">
        <v>60</v>
      </c>
      <c r="BR8" t="n">
        <v>21</v>
      </c>
      <c r="BS8" t="n">
        <v>35</v>
      </c>
      <c r="BT8" t="n">
        <v>66</v>
      </c>
      <c r="BU8" t="n">
        <v>31</v>
      </c>
      <c r="BV8" t="n">
        <v>46.97</v>
      </c>
      <c r="BW8" t="n">
        <v>93</v>
      </c>
      <c r="BX8" t="n">
        <v>56</v>
      </c>
      <c r="BY8" t="n">
        <v>60.22</v>
      </c>
      <c r="BZ8" t="n">
        <v>34</v>
      </c>
      <c r="CA8" t="n">
        <v>27</v>
      </c>
      <c r="CB8" t="n">
        <v>79.41</v>
      </c>
      <c r="CC8" t="n">
        <v>4.43</v>
      </c>
    </row>
    <row r="9" ht="12" customHeight="1" s="2">
      <c r="E9" t="inlineStr">
        <is>
          <t>UWA Nedlands</t>
        </is>
      </c>
      <c r="F9" t="inlineStr">
        <is>
          <t>4-5-1 (100.0%)</t>
        </is>
      </c>
      <c r="G9" t="n">
        <v>1</v>
      </c>
      <c r="H9" t="n">
        <v>0.48</v>
      </c>
      <c r="I9" t="n">
        <v>6</v>
      </c>
      <c r="J9" t="n">
        <v>2</v>
      </c>
      <c r="K9" t="n">
        <v>33.33</v>
      </c>
      <c r="L9" t="n">
        <v>254</v>
      </c>
      <c r="M9" t="n">
        <v>154</v>
      </c>
      <c r="N9" t="n">
        <v>60.63</v>
      </c>
      <c r="O9" t="n">
        <v>42.74</v>
      </c>
      <c r="P9" t="n">
        <v>169</v>
      </c>
      <c r="Q9" t="n">
        <v>52</v>
      </c>
      <c r="R9" t="n">
        <v>66</v>
      </c>
      <c r="S9" t="n">
        <v>51</v>
      </c>
      <c r="T9" t="n">
        <v>85</v>
      </c>
      <c r="U9" t="n">
        <v>46</v>
      </c>
      <c r="V9" t="n">
        <v>30</v>
      </c>
      <c r="W9" t="n">
        <v>9</v>
      </c>
      <c r="X9" t="n">
        <v>217</v>
      </c>
      <c r="Y9" t="n">
        <v>121</v>
      </c>
      <c r="Z9" t="n">
        <v>55.76</v>
      </c>
      <c r="AA9" t="n">
        <v>3</v>
      </c>
      <c r="AB9" t="n">
        <v>0</v>
      </c>
      <c r="AC9" t="n">
        <v>0</v>
      </c>
      <c r="AD9" t="n">
        <v>8</v>
      </c>
      <c r="AE9" t="n">
        <v>2</v>
      </c>
      <c r="AF9" t="n">
        <v>25</v>
      </c>
      <c r="AG9" t="n">
        <v>27</v>
      </c>
      <c r="AH9" t="n">
        <v>4</v>
      </c>
      <c r="AI9" t="n">
        <v>14.81</v>
      </c>
      <c r="AJ9" t="n">
        <v>0</v>
      </c>
      <c r="AK9" t="n">
        <v>0</v>
      </c>
      <c r="AL9" t="n">
        <v>0</v>
      </c>
      <c r="AM9" t="n">
        <v>1</v>
      </c>
      <c r="AN9" t="n">
        <v>0</v>
      </c>
      <c r="AO9" t="n">
        <v>0</v>
      </c>
      <c r="AP9" t="n">
        <v>0</v>
      </c>
      <c r="AQ9" t="n">
        <v>0</v>
      </c>
      <c r="AR9" t="n">
        <v>5</v>
      </c>
      <c r="AS9" t="n">
        <v>75</v>
      </c>
      <c r="AT9" t="n">
        <v>31</v>
      </c>
      <c r="AU9" t="n">
        <v>41.33</v>
      </c>
      <c r="AV9" t="n">
        <v>4</v>
      </c>
      <c r="AW9" t="n">
        <v>24</v>
      </c>
      <c r="AX9" t="n">
        <v>14</v>
      </c>
      <c r="AY9" t="n">
        <v>58.33</v>
      </c>
      <c r="AZ9" t="n">
        <v>97</v>
      </c>
      <c r="BA9" t="n">
        <v>70</v>
      </c>
      <c r="BB9" t="n">
        <v>72.16</v>
      </c>
      <c r="BC9" t="n">
        <v>22</v>
      </c>
      <c r="BD9" t="n">
        <v>9</v>
      </c>
      <c r="BE9" t="n">
        <v>40.91</v>
      </c>
      <c r="BF9" t="n">
        <v>5</v>
      </c>
      <c r="BG9" t="n">
        <v>3</v>
      </c>
      <c r="BH9" t="n">
        <v>60</v>
      </c>
      <c r="BI9" t="n">
        <v>57</v>
      </c>
      <c r="BJ9" t="n">
        <v>41</v>
      </c>
      <c r="BK9" t="n">
        <v>8</v>
      </c>
      <c r="BL9" t="n">
        <v>1</v>
      </c>
      <c r="BM9" t="n">
        <v>0</v>
      </c>
      <c r="BN9" t="n">
        <v>123</v>
      </c>
      <c r="BO9" t="n">
        <v>56</v>
      </c>
      <c r="BP9" t="n">
        <v>45.53</v>
      </c>
      <c r="BQ9" t="n">
        <v>43</v>
      </c>
      <c r="BR9" t="n">
        <v>12</v>
      </c>
      <c r="BS9" t="n">
        <v>27.91</v>
      </c>
      <c r="BT9" t="n">
        <v>30</v>
      </c>
      <c r="BU9" t="n">
        <v>8</v>
      </c>
      <c r="BV9" t="n">
        <v>26.67</v>
      </c>
      <c r="BW9" t="n">
        <v>67</v>
      </c>
      <c r="BX9" t="n">
        <v>23</v>
      </c>
      <c r="BY9" t="n">
        <v>34.33</v>
      </c>
      <c r="BZ9" t="n">
        <v>30</v>
      </c>
      <c r="CA9" t="n">
        <v>18</v>
      </c>
      <c r="CB9" t="n">
        <v>60</v>
      </c>
      <c r="CC9" t="n">
        <v>10.21</v>
      </c>
    </row>
    <row r="10" ht="12" customHeight="1" s="2">
      <c r="A10" t="inlineStr">
        <is>
          <t>2026-07-05</t>
        </is>
      </c>
      <c r="B10" t="inlineStr">
        <is>
          <t>Perth RedStar - Perth 0:1</t>
        </is>
      </c>
      <c r="C10" t="inlineStr">
        <is>
          <t>Australia. Western Australia NPL Women</t>
        </is>
      </c>
      <c r="D10" t="n">
        <v>96</v>
      </c>
      <c r="E10" t="inlineStr">
        <is>
          <t>Perth</t>
        </is>
      </c>
      <c r="F10" t="inlineStr">
        <is>
          <t>4-2-3-1 (100.0%)</t>
        </is>
      </c>
      <c r="G10" t="n">
        <v>1</v>
      </c>
      <c r="H10" t="n">
        <v>3.44</v>
      </c>
      <c r="I10" t="n">
        <v>19</v>
      </c>
      <c r="J10" t="n">
        <v>12</v>
      </c>
      <c r="K10" t="n">
        <v>63.16</v>
      </c>
      <c r="L10" t="n">
        <v>369</v>
      </c>
      <c r="M10" t="n">
        <v>240</v>
      </c>
      <c r="N10" t="n">
        <v>65.04000000000001</v>
      </c>
      <c r="O10" t="n">
        <v>48.8</v>
      </c>
      <c r="P10" t="n">
        <v>156</v>
      </c>
      <c r="Q10" t="n">
        <v>23</v>
      </c>
      <c r="R10" t="n">
        <v>72</v>
      </c>
      <c r="S10" t="n">
        <v>61</v>
      </c>
      <c r="T10" t="n">
        <v>89</v>
      </c>
      <c r="U10" t="n">
        <v>23</v>
      </c>
      <c r="V10" t="n">
        <v>51</v>
      </c>
      <c r="W10" t="n">
        <v>15</v>
      </c>
      <c r="X10" t="n">
        <v>210</v>
      </c>
      <c r="Y10" t="n">
        <v>96</v>
      </c>
      <c r="Z10" t="n">
        <v>45.71</v>
      </c>
      <c r="AA10" t="n">
        <v>4</v>
      </c>
      <c r="AB10" t="n">
        <v>3</v>
      </c>
      <c r="AC10" t="n">
        <v>75</v>
      </c>
      <c r="AD10" t="n">
        <v>41</v>
      </c>
      <c r="AE10" t="n">
        <v>16</v>
      </c>
      <c r="AF10" t="n">
        <v>39.02</v>
      </c>
      <c r="AG10" t="n">
        <v>22</v>
      </c>
      <c r="AH10" t="n">
        <v>3</v>
      </c>
      <c r="AI10" t="n">
        <v>13.64</v>
      </c>
      <c r="AJ10" t="n">
        <v>10</v>
      </c>
      <c r="AK10" t="n">
        <v>2</v>
      </c>
      <c r="AL10" t="n">
        <v>20</v>
      </c>
      <c r="AM10" t="n">
        <v>17</v>
      </c>
      <c r="AN10" t="n">
        <v>7</v>
      </c>
      <c r="AO10" t="n">
        <v>41.18</v>
      </c>
      <c r="AP10" t="n">
        <v>8</v>
      </c>
      <c r="AQ10" t="n">
        <v>8</v>
      </c>
      <c r="AR10" t="n">
        <v>25</v>
      </c>
      <c r="AS10" t="n">
        <v>66</v>
      </c>
      <c r="AT10" t="n">
        <v>16</v>
      </c>
      <c r="AU10" t="n">
        <v>24.24</v>
      </c>
      <c r="AV10" t="n">
        <v>0</v>
      </c>
      <c r="AW10" t="n">
        <v>5</v>
      </c>
      <c r="AX10" t="n">
        <v>2</v>
      </c>
      <c r="AY10" t="n">
        <v>40</v>
      </c>
      <c r="AZ10" t="n">
        <v>75</v>
      </c>
      <c r="BA10" t="n">
        <v>59</v>
      </c>
      <c r="BB10" t="n">
        <v>78.67</v>
      </c>
      <c r="BC10" t="n">
        <v>26</v>
      </c>
      <c r="BD10" t="n">
        <v>8</v>
      </c>
      <c r="BE10" t="n">
        <v>30.77</v>
      </c>
      <c r="BF10" t="n">
        <v>0</v>
      </c>
      <c r="BG10" t="n">
        <v>0</v>
      </c>
      <c r="BH10" t="n">
        <v>0</v>
      </c>
      <c r="BI10" t="n">
        <v>34</v>
      </c>
      <c r="BJ10" t="n">
        <v>13</v>
      </c>
      <c r="BK10" t="n">
        <v>9</v>
      </c>
      <c r="BL10" t="n">
        <v>1</v>
      </c>
      <c r="BM10" t="n">
        <v>0</v>
      </c>
      <c r="BN10" t="n">
        <v>166</v>
      </c>
      <c r="BO10" t="n">
        <v>91</v>
      </c>
      <c r="BP10" t="n">
        <v>54.82</v>
      </c>
      <c r="BQ10" t="n">
        <v>69</v>
      </c>
      <c r="BR10" t="n">
        <v>27</v>
      </c>
      <c r="BS10" t="n">
        <v>39.13</v>
      </c>
      <c r="BT10" t="n">
        <v>48</v>
      </c>
      <c r="BU10" t="n">
        <v>22</v>
      </c>
      <c r="BV10" t="n">
        <v>45.83</v>
      </c>
      <c r="BW10" t="n">
        <v>78</v>
      </c>
      <c r="BX10" t="n">
        <v>36</v>
      </c>
      <c r="BY10" t="n">
        <v>46.15</v>
      </c>
      <c r="BZ10" t="n">
        <v>51</v>
      </c>
      <c r="CA10" t="n">
        <v>26</v>
      </c>
      <c r="CB10" t="n">
        <v>50.98</v>
      </c>
      <c r="CC10" t="n">
        <v>7.08</v>
      </c>
    </row>
    <row r="11" ht="12" customHeight="1" s="2">
      <c r="E11" t="inlineStr">
        <is>
          <t>Perth RedStar</t>
        </is>
      </c>
      <c r="F11" t="inlineStr">
        <is>
          <t>4-3-3 (100.0%)</t>
        </is>
      </c>
      <c r="G11" t="n">
        <v>0</v>
      </c>
      <c r="H11" t="n">
        <v>0.2</v>
      </c>
      <c r="I11" t="n">
        <v>5</v>
      </c>
      <c r="J11" t="n">
        <v>2</v>
      </c>
      <c r="K11" t="n">
        <v>40</v>
      </c>
      <c r="L11" t="n">
        <v>333</v>
      </c>
      <c r="M11" t="n">
        <v>227</v>
      </c>
      <c r="N11" t="n">
        <v>68.17</v>
      </c>
      <c r="O11" t="n">
        <v>51.2</v>
      </c>
      <c r="P11" t="n">
        <v>163</v>
      </c>
      <c r="Q11" t="n">
        <v>30</v>
      </c>
      <c r="R11" t="n">
        <v>89</v>
      </c>
      <c r="S11" t="n">
        <v>44</v>
      </c>
      <c r="T11" t="n">
        <v>95</v>
      </c>
      <c r="U11" t="n">
        <v>42</v>
      </c>
      <c r="V11" t="n">
        <v>37</v>
      </c>
      <c r="W11" t="n">
        <v>16</v>
      </c>
      <c r="X11" t="n">
        <v>210</v>
      </c>
      <c r="Y11" t="n">
        <v>92</v>
      </c>
      <c r="Z11" t="n">
        <v>43.81</v>
      </c>
      <c r="AA11" t="n">
        <v>1</v>
      </c>
      <c r="AB11" t="n">
        <v>0</v>
      </c>
      <c r="AC11" t="n">
        <v>0</v>
      </c>
      <c r="AD11" t="n">
        <v>22</v>
      </c>
      <c r="AE11" t="n">
        <v>3</v>
      </c>
      <c r="AF11" t="n">
        <v>13.64</v>
      </c>
      <c r="AG11" t="n">
        <v>24</v>
      </c>
      <c r="AH11" t="n">
        <v>2</v>
      </c>
      <c r="AI11" t="n">
        <v>8.33</v>
      </c>
      <c r="AJ11" t="n">
        <v>2</v>
      </c>
      <c r="AK11" t="n">
        <v>1</v>
      </c>
      <c r="AL11" t="n">
        <v>50</v>
      </c>
      <c r="AM11" t="n">
        <v>12</v>
      </c>
      <c r="AN11" t="n">
        <v>6</v>
      </c>
      <c r="AO11" t="n">
        <v>50</v>
      </c>
      <c r="AP11" t="n">
        <v>5</v>
      </c>
      <c r="AQ11" t="n">
        <v>4</v>
      </c>
      <c r="AR11" t="n">
        <v>9</v>
      </c>
      <c r="AS11" t="n">
        <v>75</v>
      </c>
      <c r="AT11" t="n">
        <v>16</v>
      </c>
      <c r="AU11" t="n">
        <v>21.33</v>
      </c>
      <c r="AV11" t="n">
        <v>1</v>
      </c>
      <c r="AW11" t="n">
        <v>19</v>
      </c>
      <c r="AX11" t="n">
        <v>13</v>
      </c>
      <c r="AY11" t="n">
        <v>68.42</v>
      </c>
      <c r="AZ11" t="n">
        <v>66</v>
      </c>
      <c r="BA11" t="n">
        <v>50</v>
      </c>
      <c r="BB11" t="n">
        <v>75.76000000000001</v>
      </c>
      <c r="BC11" t="n">
        <v>26</v>
      </c>
      <c r="BD11" t="n">
        <v>10</v>
      </c>
      <c r="BE11" t="n">
        <v>38.46</v>
      </c>
      <c r="BF11" t="n">
        <v>1</v>
      </c>
      <c r="BG11" t="n">
        <v>1</v>
      </c>
      <c r="BH11" t="n">
        <v>100</v>
      </c>
      <c r="BI11" t="n">
        <v>77</v>
      </c>
      <c r="BJ11" t="n">
        <v>36</v>
      </c>
      <c r="BK11" t="n">
        <v>4</v>
      </c>
      <c r="BL11" t="n">
        <v>1</v>
      </c>
      <c r="BM11" t="n">
        <v>0</v>
      </c>
      <c r="BN11" t="n">
        <v>140</v>
      </c>
      <c r="BO11" t="n">
        <v>82</v>
      </c>
      <c r="BP11" t="n">
        <v>58.57</v>
      </c>
      <c r="BQ11" t="n">
        <v>53</v>
      </c>
      <c r="BR11" t="n">
        <v>30</v>
      </c>
      <c r="BS11" t="n">
        <v>56.6</v>
      </c>
      <c r="BT11" t="n">
        <v>30</v>
      </c>
      <c r="BU11" t="n">
        <v>11</v>
      </c>
      <c r="BV11" t="n">
        <v>36.67</v>
      </c>
      <c r="BW11" t="n">
        <v>73</v>
      </c>
      <c r="BX11" t="n">
        <v>38</v>
      </c>
      <c r="BY11" t="n">
        <v>52.05</v>
      </c>
      <c r="BZ11" t="n">
        <v>42</v>
      </c>
      <c r="CA11" t="n">
        <v>32</v>
      </c>
      <c r="CB11" t="n">
        <v>76.19</v>
      </c>
      <c r="CC11" t="n">
        <v>6.36</v>
      </c>
    </row>
    <row r="12" ht="12" customHeight="1" s="2">
      <c r="A12" t="inlineStr">
        <is>
          <t>2026-06-28</t>
        </is>
      </c>
      <c r="B12" t="inlineStr">
        <is>
          <t>Perth - Fremantle City 2:1</t>
        </is>
      </c>
      <c r="C12" t="inlineStr">
        <is>
          <t>Australia. Western Australia NPL Women</t>
        </is>
      </c>
      <c r="D12" t="n">
        <v>100</v>
      </c>
      <c r="E12" t="inlineStr">
        <is>
          <t>Perth</t>
        </is>
      </c>
      <c r="F12" t="inlineStr">
        <is>
          <t>4-2-3-1 (100.0%)</t>
        </is>
      </c>
      <c r="G12" t="n">
        <v>2</v>
      </c>
      <c r="H12" t="n">
        <v>1.94</v>
      </c>
      <c r="I12" t="n">
        <v>14</v>
      </c>
      <c r="J12" t="n">
        <v>4</v>
      </c>
      <c r="K12" t="n">
        <v>28.57</v>
      </c>
      <c r="L12" t="n">
        <v>283</v>
      </c>
      <c r="M12" t="n">
        <v>181</v>
      </c>
      <c r="N12" t="n">
        <v>63.96</v>
      </c>
      <c r="O12" t="n">
        <v>37.32</v>
      </c>
      <c r="P12" t="n">
        <v>126</v>
      </c>
      <c r="Q12" t="n">
        <v>16</v>
      </c>
      <c r="R12" t="n">
        <v>48</v>
      </c>
      <c r="S12" t="n">
        <v>62</v>
      </c>
      <c r="T12" t="n">
        <v>87</v>
      </c>
      <c r="U12" t="n">
        <v>43</v>
      </c>
      <c r="V12" t="n">
        <v>30</v>
      </c>
      <c r="W12" t="n">
        <v>14</v>
      </c>
      <c r="X12" t="n">
        <v>236</v>
      </c>
      <c r="Y12" t="n">
        <v>124</v>
      </c>
      <c r="Z12" t="n">
        <v>52.54</v>
      </c>
      <c r="AA12" t="n">
        <v>4</v>
      </c>
      <c r="AB12" t="n">
        <v>1</v>
      </c>
      <c r="AC12" t="n">
        <v>25</v>
      </c>
      <c r="AD12" t="n">
        <v>35</v>
      </c>
      <c r="AE12" t="n">
        <v>7</v>
      </c>
      <c r="AF12" t="n">
        <v>20</v>
      </c>
      <c r="AG12" t="n">
        <v>17</v>
      </c>
      <c r="AH12" t="n">
        <v>7</v>
      </c>
      <c r="AI12" t="n">
        <v>41.18</v>
      </c>
      <c r="AJ12" t="n">
        <v>3</v>
      </c>
      <c r="AK12" t="n">
        <v>3</v>
      </c>
      <c r="AL12" t="n">
        <v>100</v>
      </c>
      <c r="AM12" t="n">
        <v>15</v>
      </c>
      <c r="AN12" t="n">
        <v>5</v>
      </c>
      <c r="AO12" t="n">
        <v>33.33</v>
      </c>
      <c r="AP12" t="n">
        <v>5</v>
      </c>
      <c r="AQ12" t="n">
        <v>2</v>
      </c>
      <c r="AR12" t="n">
        <v>21</v>
      </c>
      <c r="AS12" t="n">
        <v>85</v>
      </c>
      <c r="AT12" t="n">
        <v>32</v>
      </c>
      <c r="AU12" t="n">
        <v>37.65</v>
      </c>
      <c r="AV12" t="n">
        <v>1</v>
      </c>
      <c r="AW12" t="n">
        <v>8</v>
      </c>
      <c r="AX12" t="n">
        <v>3</v>
      </c>
      <c r="AY12" t="n">
        <v>37.5</v>
      </c>
      <c r="AZ12" t="n">
        <v>100</v>
      </c>
      <c r="BA12" t="n">
        <v>65</v>
      </c>
      <c r="BB12" t="n">
        <v>65</v>
      </c>
      <c r="BC12" t="n">
        <v>20</v>
      </c>
      <c r="BD12" t="n">
        <v>10</v>
      </c>
      <c r="BE12" t="n">
        <v>50</v>
      </c>
      <c r="BF12" t="n">
        <v>5</v>
      </c>
      <c r="BG12" t="n">
        <v>4</v>
      </c>
      <c r="BH12" t="n">
        <v>80</v>
      </c>
      <c r="BI12" t="n">
        <v>61</v>
      </c>
      <c r="BJ12" t="n">
        <v>24</v>
      </c>
      <c r="BK12" t="n">
        <v>9</v>
      </c>
      <c r="BL12" t="n">
        <v>0</v>
      </c>
      <c r="BM12" t="n">
        <v>0</v>
      </c>
      <c r="BN12" t="n">
        <v>127</v>
      </c>
      <c r="BO12" t="n">
        <v>72</v>
      </c>
      <c r="BP12" t="n">
        <v>56.69</v>
      </c>
      <c r="BQ12" t="n">
        <v>49</v>
      </c>
      <c r="BR12" t="n">
        <v>13</v>
      </c>
      <c r="BS12" t="n">
        <v>26.53</v>
      </c>
      <c r="BT12" t="n">
        <v>38</v>
      </c>
      <c r="BU12" t="n">
        <v>20</v>
      </c>
      <c r="BV12" t="n">
        <v>52.63</v>
      </c>
      <c r="BW12" t="n">
        <v>65</v>
      </c>
      <c r="BX12" t="n">
        <v>32</v>
      </c>
      <c r="BY12" t="n">
        <v>49.23</v>
      </c>
      <c r="BZ12" t="n">
        <v>31</v>
      </c>
      <c r="CA12" t="n">
        <v>28</v>
      </c>
      <c r="CB12" t="n">
        <v>90.31999999999999</v>
      </c>
      <c r="CC12" t="n">
        <v>8.619999999999999</v>
      </c>
    </row>
    <row r="13" ht="12" customHeight="1" s="2">
      <c r="E13" t="inlineStr">
        <is>
          <t>Fremantle City</t>
        </is>
      </c>
      <c r="F13" t="inlineStr">
        <is>
          <t>4-4-2 (100.0%)</t>
        </is>
      </c>
      <c r="G13" t="n">
        <v>1</v>
      </c>
      <c r="H13" t="n">
        <v>1.21</v>
      </c>
      <c r="I13" t="n">
        <v>8</v>
      </c>
      <c r="J13" t="n">
        <v>2</v>
      </c>
      <c r="K13" t="n">
        <v>25</v>
      </c>
      <c r="L13" t="n">
        <v>463</v>
      </c>
      <c r="M13" t="n">
        <v>363</v>
      </c>
      <c r="N13" t="n">
        <v>78.40000000000001</v>
      </c>
      <c r="O13" t="n">
        <v>62.68</v>
      </c>
      <c r="P13" t="n">
        <v>134</v>
      </c>
      <c r="Q13" t="n">
        <v>25</v>
      </c>
      <c r="R13" t="n">
        <v>46</v>
      </c>
      <c r="S13" t="n">
        <v>63</v>
      </c>
      <c r="T13" t="n">
        <v>85</v>
      </c>
      <c r="U13" t="n">
        <v>35</v>
      </c>
      <c r="V13" t="n">
        <v>33</v>
      </c>
      <c r="W13" t="n">
        <v>17</v>
      </c>
      <c r="X13" t="n">
        <v>236</v>
      </c>
      <c r="Y13" t="n">
        <v>104</v>
      </c>
      <c r="Z13" t="n">
        <v>44.07</v>
      </c>
      <c r="AA13" t="n">
        <v>3</v>
      </c>
      <c r="AB13" t="n">
        <v>0</v>
      </c>
      <c r="AC13" t="n">
        <v>0</v>
      </c>
      <c r="AD13" t="n">
        <v>28</v>
      </c>
      <c r="AE13" t="n">
        <v>4</v>
      </c>
      <c r="AF13" t="n">
        <v>14.29</v>
      </c>
      <c r="AG13" t="n">
        <v>34</v>
      </c>
      <c r="AH13" t="n">
        <v>4</v>
      </c>
      <c r="AI13" t="n">
        <v>11.76</v>
      </c>
      <c r="AJ13" t="n">
        <v>9</v>
      </c>
      <c r="AK13" t="n">
        <v>3</v>
      </c>
      <c r="AL13" t="n">
        <v>33.33</v>
      </c>
      <c r="AM13" t="n">
        <v>17</v>
      </c>
      <c r="AN13" t="n">
        <v>7</v>
      </c>
      <c r="AO13" t="n">
        <v>41.18</v>
      </c>
      <c r="AP13" t="n">
        <v>7</v>
      </c>
      <c r="AQ13" t="n">
        <v>1</v>
      </c>
      <c r="AR13" t="n">
        <v>15</v>
      </c>
      <c r="AS13" t="n">
        <v>100</v>
      </c>
      <c r="AT13" t="n">
        <v>35</v>
      </c>
      <c r="AU13" t="n">
        <v>35</v>
      </c>
      <c r="AV13" t="n">
        <v>2</v>
      </c>
      <c r="AW13" t="n">
        <v>14</v>
      </c>
      <c r="AX13" t="n">
        <v>4</v>
      </c>
      <c r="AY13" t="n">
        <v>28.57</v>
      </c>
      <c r="AZ13" t="n">
        <v>85</v>
      </c>
      <c r="BA13" t="n">
        <v>53</v>
      </c>
      <c r="BB13" t="n">
        <v>62.35</v>
      </c>
      <c r="BC13" t="n">
        <v>20</v>
      </c>
      <c r="BD13" t="n">
        <v>6</v>
      </c>
      <c r="BE13" t="n">
        <v>30</v>
      </c>
      <c r="BF13" t="n">
        <v>7</v>
      </c>
      <c r="BG13" t="n">
        <v>3</v>
      </c>
      <c r="BH13" t="n">
        <v>42.86</v>
      </c>
      <c r="BI13" t="n">
        <v>35</v>
      </c>
      <c r="BJ13" t="n">
        <v>10</v>
      </c>
      <c r="BK13" t="n">
        <v>6</v>
      </c>
      <c r="BL13" t="n">
        <v>3</v>
      </c>
      <c r="BM13" t="n">
        <v>0</v>
      </c>
      <c r="BN13" t="n">
        <v>182</v>
      </c>
      <c r="BO13" t="n">
        <v>123</v>
      </c>
      <c r="BP13" t="n">
        <v>67.58</v>
      </c>
      <c r="BQ13" t="n">
        <v>29</v>
      </c>
      <c r="BR13" t="n">
        <v>15</v>
      </c>
      <c r="BS13" t="n">
        <v>51.72</v>
      </c>
      <c r="BT13" t="n">
        <v>62</v>
      </c>
      <c r="BU13" t="n">
        <v>42</v>
      </c>
      <c r="BV13" t="n">
        <v>67.73999999999999</v>
      </c>
      <c r="BW13" t="n">
        <v>96</v>
      </c>
      <c r="BX13" t="n">
        <v>61</v>
      </c>
      <c r="BY13" t="n">
        <v>63.54</v>
      </c>
      <c r="BZ13" t="n">
        <v>30</v>
      </c>
      <c r="CA13" t="n">
        <v>24</v>
      </c>
      <c r="CB13" t="n">
        <v>80</v>
      </c>
      <c r="CC13" t="n">
        <v>10.88</v>
      </c>
    </row>
    <row r="14" ht="12" customHeight="1" s="2">
      <c r="A14" t="inlineStr">
        <is>
          <t>2026-06-20</t>
        </is>
      </c>
      <c r="B14" t="inlineStr">
        <is>
          <t>Balcatta - Perth 0:1</t>
        </is>
      </c>
      <c r="C14" t="inlineStr">
        <is>
          <t>Australia. Western Australia NPL Women</t>
        </is>
      </c>
      <c r="D14" t="n">
        <v>91</v>
      </c>
      <c r="E14" t="inlineStr">
        <is>
          <t>Perth</t>
        </is>
      </c>
      <c r="F14" t="inlineStr">
        <is>
          <t>4-1-4-1 (100.0%)</t>
        </is>
      </c>
      <c r="G14" t="n">
        <v>1</v>
      </c>
      <c r="H14" t="n">
        <v>0.66</v>
      </c>
      <c r="I14" t="n">
        <v>13</v>
      </c>
      <c r="J14" t="n">
        <v>6</v>
      </c>
      <c r="K14" t="n">
        <v>46.15</v>
      </c>
      <c r="L14" t="n">
        <v>366</v>
      </c>
      <c r="M14" t="n">
        <v>247</v>
      </c>
      <c r="N14" t="n">
        <v>67.48999999999999</v>
      </c>
      <c r="O14" t="n">
        <v>44.61</v>
      </c>
      <c r="P14" t="n">
        <v>136</v>
      </c>
      <c r="Q14" t="n">
        <v>15</v>
      </c>
      <c r="R14" t="n">
        <v>46</v>
      </c>
      <c r="S14" t="n">
        <v>75</v>
      </c>
      <c r="T14" t="n">
        <v>99</v>
      </c>
      <c r="U14" t="n">
        <v>33</v>
      </c>
      <c r="V14" t="n">
        <v>43</v>
      </c>
      <c r="W14" t="n">
        <v>23</v>
      </c>
      <c r="X14" t="n">
        <v>215</v>
      </c>
      <c r="Y14" t="n">
        <v>100</v>
      </c>
      <c r="Z14" t="n">
        <v>46.51</v>
      </c>
      <c r="AA14" t="n">
        <v>6</v>
      </c>
      <c r="AB14" t="n">
        <v>3</v>
      </c>
      <c r="AC14" t="n">
        <v>50</v>
      </c>
      <c r="AD14" t="n">
        <v>43</v>
      </c>
      <c r="AE14" t="n">
        <v>10</v>
      </c>
      <c r="AF14" t="n">
        <v>23.26</v>
      </c>
      <c r="AG14" t="n">
        <v>15</v>
      </c>
      <c r="AH14" t="n">
        <v>2</v>
      </c>
      <c r="AI14" t="n">
        <v>13.33</v>
      </c>
      <c r="AJ14" t="n">
        <v>4</v>
      </c>
      <c r="AK14" t="n">
        <v>2</v>
      </c>
      <c r="AL14" t="n">
        <v>50</v>
      </c>
      <c r="AM14" t="n">
        <v>15</v>
      </c>
      <c r="AN14" t="n">
        <v>2</v>
      </c>
      <c r="AO14" t="n">
        <v>13.33</v>
      </c>
      <c r="AP14" t="n">
        <v>4</v>
      </c>
      <c r="AQ14" t="n">
        <v>6</v>
      </c>
      <c r="AR14" t="n">
        <v>16</v>
      </c>
      <c r="AS14" t="n">
        <v>97</v>
      </c>
      <c r="AT14" t="n">
        <v>24</v>
      </c>
      <c r="AU14" t="n">
        <v>24.74</v>
      </c>
      <c r="AV14" t="n">
        <v>0</v>
      </c>
      <c r="AW14" t="n">
        <v>8</v>
      </c>
      <c r="AX14" t="n">
        <v>4</v>
      </c>
      <c r="AY14" t="n">
        <v>50</v>
      </c>
      <c r="AZ14" t="n">
        <v>76</v>
      </c>
      <c r="BA14" t="n">
        <v>59</v>
      </c>
      <c r="BB14" t="n">
        <v>77.63</v>
      </c>
      <c r="BC14" t="n">
        <v>17</v>
      </c>
      <c r="BD14" t="n">
        <v>3</v>
      </c>
      <c r="BE14" t="n">
        <v>17.65</v>
      </c>
      <c r="BF14" t="n">
        <v>1</v>
      </c>
      <c r="BG14" t="n">
        <v>1</v>
      </c>
      <c r="BH14" t="n">
        <v>100</v>
      </c>
      <c r="BI14" t="n">
        <v>53</v>
      </c>
      <c r="BJ14" t="n">
        <v>12</v>
      </c>
      <c r="BK14" t="n">
        <v>9</v>
      </c>
      <c r="BL14" t="n">
        <v>1</v>
      </c>
      <c r="BM14" t="n">
        <v>0</v>
      </c>
      <c r="BN14" t="n">
        <v>163</v>
      </c>
      <c r="BO14" t="n">
        <v>90</v>
      </c>
      <c r="BP14" t="n">
        <v>55.21</v>
      </c>
      <c r="BQ14" t="n">
        <v>60</v>
      </c>
      <c r="BR14" t="n">
        <v>31</v>
      </c>
      <c r="BS14" t="n">
        <v>51.67</v>
      </c>
      <c r="BT14" t="n">
        <v>57</v>
      </c>
      <c r="BU14" t="n">
        <v>28</v>
      </c>
      <c r="BV14" t="n">
        <v>49.12</v>
      </c>
      <c r="BW14" t="n">
        <v>83</v>
      </c>
      <c r="BX14" t="n">
        <v>44</v>
      </c>
      <c r="BY14" t="n">
        <v>53.01</v>
      </c>
      <c r="BZ14" t="n">
        <v>39</v>
      </c>
      <c r="CA14" t="n">
        <v>31</v>
      </c>
      <c r="CB14" t="n">
        <v>79.48999999999999</v>
      </c>
      <c r="CC14" t="n">
        <v>6.57</v>
      </c>
    </row>
    <row r="15" ht="12" customHeight="1" s="2">
      <c r="E15" t="inlineStr">
        <is>
          <t>Balcatta</t>
        </is>
      </c>
      <c r="F15" t="inlineStr">
        <is>
          <t>4-2-3-1 (49.96%)</t>
        </is>
      </c>
      <c r="G15" t="n">
        <v>0</v>
      </c>
      <c r="H15" t="n">
        <v>0.93</v>
      </c>
      <c r="I15" t="n">
        <v>8</v>
      </c>
      <c r="J15" t="n">
        <v>4</v>
      </c>
      <c r="K15" t="n">
        <v>50</v>
      </c>
      <c r="L15" t="n">
        <v>416</v>
      </c>
      <c r="M15" t="n">
        <v>294</v>
      </c>
      <c r="N15" t="n">
        <v>70.67</v>
      </c>
      <c r="O15" t="n">
        <v>55.39</v>
      </c>
      <c r="P15" t="n">
        <v>165</v>
      </c>
      <c r="Q15" t="n">
        <v>35</v>
      </c>
      <c r="R15" t="n">
        <v>74</v>
      </c>
      <c r="S15" t="n">
        <v>56</v>
      </c>
      <c r="T15" t="n">
        <v>98</v>
      </c>
      <c r="U15" t="n">
        <v>46</v>
      </c>
      <c r="V15" t="n">
        <v>36</v>
      </c>
      <c r="W15" t="n">
        <v>16</v>
      </c>
      <c r="X15" t="n">
        <v>215</v>
      </c>
      <c r="Y15" t="n">
        <v>109</v>
      </c>
      <c r="Z15" t="n">
        <v>50.7</v>
      </c>
      <c r="AA15" t="n">
        <v>3</v>
      </c>
      <c r="AB15" t="n">
        <v>1</v>
      </c>
      <c r="AC15" t="n">
        <v>33.33</v>
      </c>
      <c r="AD15" t="n">
        <v>29</v>
      </c>
      <c r="AE15" t="n">
        <v>7</v>
      </c>
      <c r="AF15" t="n">
        <v>24.14</v>
      </c>
      <c r="AG15" t="n">
        <v>25</v>
      </c>
      <c r="AH15" t="n">
        <v>1</v>
      </c>
      <c r="AI15" t="n">
        <v>4</v>
      </c>
      <c r="AJ15" t="n">
        <v>1</v>
      </c>
      <c r="AK15" t="n">
        <v>0</v>
      </c>
      <c r="AL15" t="n">
        <v>0</v>
      </c>
      <c r="AM15" t="n">
        <v>12</v>
      </c>
      <c r="AN15" t="n">
        <v>5</v>
      </c>
      <c r="AO15" t="n">
        <v>41.67</v>
      </c>
      <c r="AP15" t="n">
        <v>7</v>
      </c>
      <c r="AQ15" t="n">
        <v>6</v>
      </c>
      <c r="AR15" t="n">
        <v>14</v>
      </c>
      <c r="AS15" t="n">
        <v>76</v>
      </c>
      <c r="AT15" t="n">
        <v>17</v>
      </c>
      <c r="AU15" t="n">
        <v>22.37</v>
      </c>
      <c r="AV15" t="n">
        <v>1</v>
      </c>
      <c r="AW15" t="n">
        <v>13</v>
      </c>
      <c r="AX15" t="n">
        <v>6</v>
      </c>
      <c r="AY15" t="n">
        <v>46.15</v>
      </c>
      <c r="AZ15" t="n">
        <v>97</v>
      </c>
      <c r="BA15" t="n">
        <v>73</v>
      </c>
      <c r="BB15" t="n">
        <v>75.26000000000001</v>
      </c>
      <c r="BC15" t="n">
        <v>17</v>
      </c>
      <c r="BD15" t="n">
        <v>12</v>
      </c>
      <c r="BE15" t="n">
        <v>70.59</v>
      </c>
      <c r="BF15" t="n">
        <v>2</v>
      </c>
      <c r="BG15" t="n">
        <v>1</v>
      </c>
      <c r="BH15" t="n">
        <v>50</v>
      </c>
      <c r="BI15" t="n">
        <v>38</v>
      </c>
      <c r="BJ15" t="n">
        <v>17</v>
      </c>
      <c r="BK15" t="n">
        <v>2</v>
      </c>
      <c r="BL15" t="n">
        <v>1</v>
      </c>
      <c r="BM15" t="n">
        <v>0</v>
      </c>
      <c r="BN15" t="n">
        <v>169</v>
      </c>
      <c r="BO15" t="n">
        <v>96</v>
      </c>
      <c r="BP15" t="n">
        <v>56.8</v>
      </c>
      <c r="BQ15" t="n">
        <v>63</v>
      </c>
      <c r="BR15" t="n">
        <v>21</v>
      </c>
      <c r="BS15" t="n">
        <v>33.33</v>
      </c>
      <c r="BT15" t="n">
        <v>47</v>
      </c>
      <c r="BU15" t="n">
        <v>23</v>
      </c>
      <c r="BV15" t="n">
        <v>48.94</v>
      </c>
      <c r="BW15" t="n">
        <v>88</v>
      </c>
      <c r="BX15" t="n">
        <v>35</v>
      </c>
      <c r="BY15" t="n">
        <v>39.77</v>
      </c>
      <c r="BZ15" t="n">
        <v>41</v>
      </c>
      <c r="CA15" t="n">
        <v>34</v>
      </c>
      <c r="CB15" t="n">
        <v>82.93000000000001</v>
      </c>
      <c r="CC15" t="n">
        <v>16.67</v>
      </c>
    </row>
    <row r="16" ht="12" customHeight="1" s="2">
      <c r="A16" t="inlineStr">
        <is>
          <t>2026-06-14</t>
        </is>
      </c>
      <c r="B16" t="inlineStr">
        <is>
          <t>Perth - West NTC 3:0</t>
        </is>
      </c>
      <c r="C16" t="inlineStr">
        <is>
          <t>Australia. Western Australia NPL Women</t>
        </is>
      </c>
      <c r="D16" t="n">
        <v>95</v>
      </c>
      <c r="E16" t="inlineStr">
        <is>
          <t>Perth</t>
        </is>
      </c>
      <c r="F16" t="inlineStr">
        <is>
          <t>4-2-3-1 (100.0%)</t>
        </is>
      </c>
      <c r="G16" t="n">
        <v>3</v>
      </c>
      <c r="H16" t="n">
        <v>2.57</v>
      </c>
      <c r="I16" t="n">
        <v>23</v>
      </c>
      <c r="J16" t="n">
        <v>7</v>
      </c>
      <c r="K16" t="n">
        <v>30.43</v>
      </c>
      <c r="L16" t="n">
        <v>610</v>
      </c>
      <c r="M16" t="n">
        <v>488</v>
      </c>
      <c r="N16" t="n">
        <v>80</v>
      </c>
      <c r="O16" t="n">
        <v>59.26</v>
      </c>
      <c r="P16" t="n">
        <v>159</v>
      </c>
      <c r="Q16" t="n">
        <v>11</v>
      </c>
      <c r="R16" t="n">
        <v>54</v>
      </c>
      <c r="S16" t="n">
        <v>94</v>
      </c>
      <c r="T16" t="n">
        <v>105</v>
      </c>
      <c r="U16" t="n">
        <v>29</v>
      </c>
      <c r="V16" t="n">
        <v>55</v>
      </c>
      <c r="W16" t="n">
        <v>21</v>
      </c>
      <c r="X16" t="n">
        <v>171</v>
      </c>
      <c r="Y16" t="n">
        <v>79</v>
      </c>
      <c r="Z16" t="n">
        <v>46.2</v>
      </c>
      <c r="AA16" t="n">
        <v>8</v>
      </c>
      <c r="AB16" t="n">
        <v>2</v>
      </c>
      <c r="AC16" t="n">
        <v>25</v>
      </c>
      <c r="AD16" t="n">
        <v>45</v>
      </c>
      <c r="AE16" t="n">
        <v>16</v>
      </c>
      <c r="AF16" t="n">
        <v>35.56</v>
      </c>
      <c r="AG16" t="n">
        <v>16</v>
      </c>
      <c r="AH16" t="n">
        <v>7</v>
      </c>
      <c r="AI16" t="n">
        <v>43.75</v>
      </c>
      <c r="AJ16" t="n">
        <v>6</v>
      </c>
      <c r="AK16" t="n">
        <v>5</v>
      </c>
      <c r="AL16" t="n">
        <v>83.33</v>
      </c>
      <c r="AM16" t="n">
        <v>18</v>
      </c>
      <c r="AN16" t="n">
        <v>3</v>
      </c>
      <c r="AO16" t="n">
        <v>16.67</v>
      </c>
      <c r="AP16" t="n">
        <v>3</v>
      </c>
      <c r="AQ16" t="n">
        <v>8</v>
      </c>
      <c r="AR16" t="n">
        <v>28</v>
      </c>
      <c r="AS16" t="n">
        <v>70</v>
      </c>
      <c r="AT16" t="n">
        <v>23</v>
      </c>
      <c r="AU16" t="n">
        <v>32.86</v>
      </c>
      <c r="AV16" t="n">
        <v>0</v>
      </c>
      <c r="AW16" t="n">
        <v>7</v>
      </c>
      <c r="AX16" t="n">
        <v>2</v>
      </c>
      <c r="AY16" t="n">
        <v>28.57</v>
      </c>
      <c r="AZ16" t="n">
        <v>80</v>
      </c>
      <c r="BA16" t="n">
        <v>50</v>
      </c>
      <c r="BB16" t="n">
        <v>62.5</v>
      </c>
      <c r="BC16" t="n">
        <v>8</v>
      </c>
      <c r="BD16" t="n">
        <v>0</v>
      </c>
      <c r="BE16" t="n">
        <v>0</v>
      </c>
      <c r="BF16" t="n">
        <v>6</v>
      </c>
      <c r="BG16" t="n">
        <v>2</v>
      </c>
      <c r="BH16" t="n">
        <v>33.33</v>
      </c>
      <c r="BI16" t="n">
        <v>45</v>
      </c>
      <c r="BJ16" t="n">
        <v>11</v>
      </c>
      <c r="BK16" t="n">
        <v>14</v>
      </c>
      <c r="BL16" t="n">
        <v>1</v>
      </c>
      <c r="BM16" t="n">
        <v>0</v>
      </c>
      <c r="BN16" t="n">
        <v>200</v>
      </c>
      <c r="BO16" t="n">
        <v>126</v>
      </c>
      <c r="BP16" t="n">
        <v>63</v>
      </c>
      <c r="BQ16" t="n">
        <v>71</v>
      </c>
      <c r="BR16" t="n">
        <v>27</v>
      </c>
      <c r="BS16" t="n">
        <v>38.03</v>
      </c>
      <c r="BT16" t="n">
        <v>81</v>
      </c>
      <c r="BU16" t="n">
        <v>35</v>
      </c>
      <c r="BV16" t="n">
        <v>43.21</v>
      </c>
      <c r="BW16" t="n">
        <v>81</v>
      </c>
      <c r="BX16" t="n">
        <v>58</v>
      </c>
      <c r="BY16" t="n">
        <v>71.59999999999999</v>
      </c>
      <c r="BZ16" t="n">
        <v>28</v>
      </c>
      <c r="CA16" t="n">
        <v>18</v>
      </c>
      <c r="CB16" t="n">
        <v>64.29000000000001</v>
      </c>
      <c r="CC16" t="n">
        <v>5.17</v>
      </c>
    </row>
    <row r="17" ht="12" customHeight="1" s="2">
      <c r="E17" t="inlineStr">
        <is>
          <t>West NTC</t>
        </is>
      </c>
      <c r="F17" t="inlineStr">
        <is>
          <t>4-4-2 (100.0%)</t>
        </is>
      </c>
      <c r="G17" t="n">
        <v>0</v>
      </c>
      <c r="H17" t="n">
        <v>0.45</v>
      </c>
      <c r="I17" t="n">
        <v>7</v>
      </c>
      <c r="J17" t="n">
        <v>2</v>
      </c>
      <c r="K17" t="n">
        <v>28.57</v>
      </c>
      <c r="L17" t="n">
        <v>401</v>
      </c>
      <c r="M17" t="n">
        <v>277</v>
      </c>
      <c r="N17" t="n">
        <v>69.08</v>
      </c>
      <c r="O17" t="n">
        <v>40.74</v>
      </c>
      <c r="P17" t="n">
        <v>172</v>
      </c>
      <c r="Q17" t="n">
        <v>47</v>
      </c>
      <c r="R17" t="n">
        <v>74</v>
      </c>
      <c r="S17" t="n">
        <v>51</v>
      </c>
      <c r="T17" t="n">
        <v>106</v>
      </c>
      <c r="U17" t="n">
        <v>59</v>
      </c>
      <c r="V17" t="n">
        <v>42</v>
      </c>
      <c r="W17" t="n">
        <v>5</v>
      </c>
      <c r="X17" t="n">
        <v>171</v>
      </c>
      <c r="Y17" t="n">
        <v>90</v>
      </c>
      <c r="Z17" t="n">
        <v>52.63</v>
      </c>
      <c r="AA17" t="n">
        <v>3</v>
      </c>
      <c r="AB17" t="n">
        <v>2</v>
      </c>
      <c r="AC17" t="n">
        <v>66.67</v>
      </c>
      <c r="AD17" t="n">
        <v>24</v>
      </c>
      <c r="AE17" t="n">
        <v>6</v>
      </c>
      <c r="AF17" t="n">
        <v>25</v>
      </c>
      <c r="AG17" t="n">
        <v>27</v>
      </c>
      <c r="AH17" t="n">
        <v>1</v>
      </c>
      <c r="AI17" t="n">
        <v>3.7</v>
      </c>
      <c r="AJ17" t="n">
        <v>2</v>
      </c>
      <c r="AK17" t="n">
        <v>1</v>
      </c>
      <c r="AL17" t="n">
        <v>50</v>
      </c>
      <c r="AM17" t="n">
        <v>6</v>
      </c>
      <c r="AN17" t="n">
        <v>2</v>
      </c>
      <c r="AO17" t="n">
        <v>33.33</v>
      </c>
      <c r="AP17" t="n">
        <v>2</v>
      </c>
      <c r="AQ17" t="n">
        <v>1</v>
      </c>
      <c r="AR17" t="n">
        <v>6</v>
      </c>
      <c r="AS17" t="n">
        <v>80</v>
      </c>
      <c r="AT17" t="n">
        <v>30</v>
      </c>
      <c r="AU17" t="n">
        <v>37.5</v>
      </c>
      <c r="AV17" t="n">
        <v>3</v>
      </c>
      <c r="AW17" t="n">
        <v>23</v>
      </c>
      <c r="AX17" t="n">
        <v>7</v>
      </c>
      <c r="AY17" t="n">
        <v>30.43</v>
      </c>
      <c r="AZ17" t="n">
        <v>70</v>
      </c>
      <c r="BA17" t="n">
        <v>47</v>
      </c>
      <c r="BB17" t="n">
        <v>67.14</v>
      </c>
      <c r="BC17" t="n">
        <v>8</v>
      </c>
      <c r="BD17" t="n">
        <v>7</v>
      </c>
      <c r="BE17" t="n">
        <v>87.5</v>
      </c>
      <c r="BF17" t="n">
        <v>6</v>
      </c>
      <c r="BG17" t="n">
        <v>6</v>
      </c>
      <c r="BH17" t="n">
        <v>100</v>
      </c>
      <c r="BI17" t="n">
        <v>38</v>
      </c>
      <c r="BJ17" t="n">
        <v>18</v>
      </c>
      <c r="BK17" t="n">
        <v>2</v>
      </c>
      <c r="BL17" t="n">
        <v>0</v>
      </c>
      <c r="BM17" t="n">
        <v>0</v>
      </c>
      <c r="BN17" t="n">
        <v>176</v>
      </c>
      <c r="BO17" t="n">
        <v>103</v>
      </c>
      <c r="BP17" t="n">
        <v>58.52</v>
      </c>
      <c r="BQ17" t="n">
        <v>55</v>
      </c>
      <c r="BR17" t="n">
        <v>18</v>
      </c>
      <c r="BS17" t="n">
        <v>32.73</v>
      </c>
      <c r="BT17" t="n">
        <v>49</v>
      </c>
      <c r="BU17" t="n">
        <v>21</v>
      </c>
      <c r="BV17" t="n">
        <v>42.86</v>
      </c>
      <c r="BW17" t="n">
        <v>96</v>
      </c>
      <c r="BX17" t="n">
        <v>35</v>
      </c>
      <c r="BY17" t="n">
        <v>36.46</v>
      </c>
      <c r="BZ17" t="n">
        <v>23</v>
      </c>
      <c r="CA17" t="n">
        <v>17</v>
      </c>
      <c r="CB17" t="n">
        <v>73.91</v>
      </c>
      <c r="CC17" t="n">
        <v>26.56</v>
      </c>
    </row>
    <row r="18" ht="12" customHeight="1" s="2">
      <c r="A18" t="inlineStr">
        <is>
          <t>2026-05-31</t>
        </is>
      </c>
      <c r="B18" t="inlineStr">
        <is>
          <t>Perth - Sorrento 3:0</t>
        </is>
      </c>
      <c r="C18" t="inlineStr">
        <is>
          <t>Australia. Western Australia NPL Women</t>
        </is>
      </c>
      <c r="D18" t="n">
        <v>94</v>
      </c>
      <c r="E18" t="inlineStr">
        <is>
          <t>Perth</t>
        </is>
      </c>
      <c r="F18" t="inlineStr">
        <is>
          <t>4-4-2 (100.0%)</t>
        </is>
      </c>
      <c r="G18" t="n">
        <v>3</v>
      </c>
      <c r="H18" t="n">
        <v>4.37</v>
      </c>
      <c r="I18" t="n">
        <v>31</v>
      </c>
      <c r="J18" t="n">
        <v>6</v>
      </c>
      <c r="K18" t="n">
        <v>19.35</v>
      </c>
      <c r="L18" t="n">
        <v>559</v>
      </c>
      <c r="M18" t="n">
        <v>467</v>
      </c>
      <c r="N18" t="n">
        <v>83.54000000000001</v>
      </c>
      <c r="O18" t="n">
        <v>62.54</v>
      </c>
      <c r="P18" t="n">
        <v>108</v>
      </c>
      <c r="Q18" t="n">
        <v>1</v>
      </c>
      <c r="R18" t="n">
        <v>13</v>
      </c>
      <c r="S18" t="n">
        <v>94</v>
      </c>
      <c r="T18" t="n">
        <v>91</v>
      </c>
      <c r="U18" t="n">
        <v>8</v>
      </c>
      <c r="V18" t="n">
        <v>38</v>
      </c>
      <c r="W18" t="n">
        <v>45</v>
      </c>
      <c r="X18" t="n">
        <v>179</v>
      </c>
      <c r="Y18" t="n">
        <v>84</v>
      </c>
      <c r="Z18" t="n">
        <v>46.93</v>
      </c>
      <c r="AA18" t="n">
        <v>12</v>
      </c>
      <c r="AB18" t="n">
        <v>2</v>
      </c>
      <c r="AC18" t="n">
        <v>16.67</v>
      </c>
      <c r="AD18" t="n">
        <v>78</v>
      </c>
      <c r="AE18" t="n">
        <v>27</v>
      </c>
      <c r="AF18" t="n">
        <v>34.62</v>
      </c>
      <c r="AG18" t="n">
        <v>13</v>
      </c>
      <c r="AH18" t="n">
        <v>3</v>
      </c>
      <c r="AI18" t="n">
        <v>23.08</v>
      </c>
      <c r="AJ18" t="n">
        <v>8</v>
      </c>
      <c r="AK18" t="n">
        <v>3</v>
      </c>
      <c r="AL18" t="n">
        <v>37.5</v>
      </c>
      <c r="AM18" t="n">
        <v>29</v>
      </c>
      <c r="AN18" t="n">
        <v>7</v>
      </c>
      <c r="AO18" t="n">
        <v>24.14</v>
      </c>
      <c r="AP18" t="n">
        <v>11</v>
      </c>
      <c r="AQ18" t="n">
        <v>31</v>
      </c>
      <c r="AR18" t="n">
        <v>58</v>
      </c>
      <c r="AS18" t="n">
        <v>81</v>
      </c>
      <c r="AT18" t="n">
        <v>23</v>
      </c>
      <c r="AU18" t="n">
        <v>28.4</v>
      </c>
      <c r="AV18" t="n">
        <v>0</v>
      </c>
      <c r="AW18" t="n">
        <v>0</v>
      </c>
      <c r="AX18" t="n">
        <v>0</v>
      </c>
      <c r="AY18" t="n">
        <v>0</v>
      </c>
      <c r="AZ18" t="n">
        <v>67</v>
      </c>
      <c r="BA18" t="n">
        <v>47</v>
      </c>
      <c r="BB18" t="n">
        <v>70.15000000000001</v>
      </c>
      <c r="BC18" t="n">
        <v>7</v>
      </c>
      <c r="BD18" t="n">
        <v>4</v>
      </c>
      <c r="BE18" t="n">
        <v>57.14</v>
      </c>
      <c r="BF18" t="n">
        <v>1</v>
      </c>
      <c r="BG18" t="n">
        <v>0</v>
      </c>
      <c r="BH18" t="n">
        <v>0</v>
      </c>
      <c r="BI18" t="n">
        <v>23</v>
      </c>
      <c r="BJ18" t="n">
        <v>2</v>
      </c>
      <c r="BK18" t="n">
        <v>13</v>
      </c>
      <c r="BL18" t="n">
        <v>0</v>
      </c>
      <c r="BM18" t="n">
        <v>0</v>
      </c>
      <c r="BN18" t="n">
        <v>187</v>
      </c>
      <c r="BO18" t="n">
        <v>148</v>
      </c>
      <c r="BP18" t="n">
        <v>79.14</v>
      </c>
      <c r="BQ18" t="n">
        <v>40</v>
      </c>
      <c r="BR18" t="n">
        <v>26</v>
      </c>
      <c r="BS18" t="n">
        <v>65</v>
      </c>
      <c r="BT18" t="n">
        <v>95</v>
      </c>
      <c r="BU18" t="n">
        <v>74</v>
      </c>
      <c r="BV18" t="n">
        <v>77.89</v>
      </c>
      <c r="BW18" t="n">
        <v>110</v>
      </c>
      <c r="BX18" t="n">
        <v>101</v>
      </c>
      <c r="BY18" t="n">
        <v>91.81999999999999</v>
      </c>
      <c r="BZ18" t="n">
        <v>31</v>
      </c>
      <c r="CA18" t="n">
        <v>29</v>
      </c>
      <c r="CB18" t="n">
        <v>93.55</v>
      </c>
      <c r="CC18" t="n">
        <v>5.51</v>
      </c>
    </row>
    <row r="19" ht="12" customHeight="1" s="2">
      <c r="E19" t="inlineStr">
        <is>
          <t>Sorrento</t>
        </is>
      </c>
      <c r="F19" t="inlineStr">
        <is>
          <t>4-5-1 (100.0%)</t>
        </is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284</v>
      </c>
      <c r="M19" t="n">
        <v>178</v>
      </c>
      <c r="N19" t="n">
        <v>62.68</v>
      </c>
      <c r="O19" t="n">
        <v>37.46</v>
      </c>
      <c r="P19" t="n">
        <v>140</v>
      </c>
      <c r="Q19" t="n">
        <v>63</v>
      </c>
      <c r="R19" t="n">
        <v>61</v>
      </c>
      <c r="S19" t="n">
        <v>16</v>
      </c>
      <c r="T19" t="n">
        <v>75</v>
      </c>
      <c r="U19" t="n">
        <v>68</v>
      </c>
      <c r="V19" t="n">
        <v>6</v>
      </c>
      <c r="W19" t="n">
        <v>1</v>
      </c>
      <c r="X19" t="n">
        <v>179</v>
      </c>
      <c r="Y19" t="n">
        <v>93</v>
      </c>
      <c r="Z19" t="n">
        <v>51.96</v>
      </c>
      <c r="AA19" t="n">
        <v>0</v>
      </c>
      <c r="AB19" t="n">
        <v>0</v>
      </c>
      <c r="AC19" t="n">
        <v>0</v>
      </c>
      <c r="AD19" t="n">
        <v>2</v>
      </c>
      <c r="AE19" t="n">
        <v>0</v>
      </c>
      <c r="AF19" t="n">
        <v>0</v>
      </c>
      <c r="AG19" t="n">
        <v>42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  <c r="AM19" t="n">
        <v>1</v>
      </c>
      <c r="AN19" t="n">
        <v>0</v>
      </c>
      <c r="AO19" t="n">
        <v>0</v>
      </c>
      <c r="AP19" t="n">
        <v>0</v>
      </c>
      <c r="AQ19" t="n">
        <v>0</v>
      </c>
      <c r="AR19" t="n">
        <v>1</v>
      </c>
      <c r="AS19" t="n">
        <v>67</v>
      </c>
      <c r="AT19" t="n">
        <v>20</v>
      </c>
      <c r="AU19" t="n">
        <v>29.85</v>
      </c>
      <c r="AV19" t="n">
        <v>3</v>
      </c>
      <c r="AW19" t="n">
        <v>31</v>
      </c>
      <c r="AX19" t="n">
        <v>9</v>
      </c>
      <c r="AY19" t="n">
        <v>29.03</v>
      </c>
      <c r="AZ19" t="n">
        <v>81</v>
      </c>
      <c r="BA19" t="n">
        <v>58</v>
      </c>
      <c r="BB19" t="n">
        <v>71.59999999999999</v>
      </c>
      <c r="BC19" t="n">
        <v>7</v>
      </c>
      <c r="BD19" t="n">
        <v>2</v>
      </c>
      <c r="BE19" t="n">
        <v>28.57</v>
      </c>
      <c r="BF19" t="n">
        <v>2</v>
      </c>
      <c r="BG19" t="n">
        <v>0</v>
      </c>
      <c r="BH19" t="n">
        <v>0</v>
      </c>
      <c r="BI19" t="n">
        <v>49</v>
      </c>
      <c r="BJ19" t="n">
        <v>12</v>
      </c>
      <c r="BK19" t="n">
        <v>4</v>
      </c>
      <c r="BL19" t="n">
        <v>0</v>
      </c>
      <c r="BM19" t="n">
        <v>0</v>
      </c>
      <c r="BN19" t="n">
        <v>114</v>
      </c>
      <c r="BO19" t="n">
        <v>50</v>
      </c>
      <c r="BP19" t="n">
        <v>43.86</v>
      </c>
      <c r="BQ19" t="n">
        <v>48</v>
      </c>
      <c r="BR19" t="n">
        <v>11</v>
      </c>
      <c r="BS19" t="n">
        <v>22.92</v>
      </c>
      <c r="BT19" t="n">
        <v>15</v>
      </c>
      <c r="BU19" t="n">
        <v>6</v>
      </c>
      <c r="BV19" t="n">
        <v>40</v>
      </c>
      <c r="BW19" t="n">
        <v>80</v>
      </c>
      <c r="BX19" t="n">
        <v>11</v>
      </c>
      <c r="BY19" t="n">
        <v>13.75</v>
      </c>
      <c r="BZ19" t="n">
        <v>17</v>
      </c>
      <c r="CA19" t="n">
        <v>7</v>
      </c>
      <c r="CB19" t="n">
        <v>41.18</v>
      </c>
      <c r="CC19" t="n">
        <v>122.5</v>
      </c>
    </row>
    <row r="20" ht="12" customHeight="1" s="2">
      <c r="A20" t="inlineStr">
        <is>
          <t>2026-05-24</t>
        </is>
      </c>
      <c r="B20" t="inlineStr">
        <is>
          <t>Subiaco - Perth 0:5</t>
        </is>
      </c>
      <c r="C20" t="inlineStr">
        <is>
          <t>Australia. Western Australia NPL Women</t>
        </is>
      </c>
      <c r="D20" t="n">
        <v>95</v>
      </c>
      <c r="E20" t="inlineStr">
        <is>
          <t>Perth</t>
        </is>
      </c>
      <c r="F20" t="inlineStr">
        <is>
          <t>4-2-3-1 (100.0%)</t>
        </is>
      </c>
      <c r="G20" t="n">
        <v>5</v>
      </c>
      <c r="H20" t="n">
        <v>2.25</v>
      </c>
      <c r="I20" t="n">
        <v>16</v>
      </c>
      <c r="J20" t="n">
        <v>13</v>
      </c>
      <c r="K20" t="n">
        <v>81.25</v>
      </c>
      <c r="L20" t="n">
        <v>376</v>
      </c>
      <c r="M20" t="n">
        <v>265</v>
      </c>
      <c r="N20" t="n">
        <v>70.48</v>
      </c>
      <c r="O20" t="n">
        <v>55.9</v>
      </c>
      <c r="P20" t="n">
        <v>137</v>
      </c>
      <c r="Q20" t="n">
        <v>20</v>
      </c>
      <c r="R20" t="n">
        <v>48</v>
      </c>
      <c r="S20" t="n">
        <v>69</v>
      </c>
      <c r="T20" t="n">
        <v>105</v>
      </c>
      <c r="U20" t="n">
        <v>39</v>
      </c>
      <c r="V20" t="n">
        <v>44</v>
      </c>
      <c r="W20" t="n">
        <v>22</v>
      </c>
      <c r="X20" t="n">
        <v>242</v>
      </c>
      <c r="Y20" t="n">
        <v>126</v>
      </c>
      <c r="Z20" t="n">
        <v>52.07</v>
      </c>
      <c r="AA20" t="n">
        <v>6</v>
      </c>
      <c r="AB20" t="n">
        <v>5</v>
      </c>
      <c r="AC20" t="n">
        <v>83.33</v>
      </c>
      <c r="AD20" t="n">
        <v>46</v>
      </c>
      <c r="AE20" t="n">
        <v>11</v>
      </c>
      <c r="AF20" t="n">
        <v>23.91</v>
      </c>
      <c r="AG20" t="n">
        <v>17</v>
      </c>
      <c r="AH20" t="n">
        <v>5</v>
      </c>
      <c r="AI20" t="n">
        <v>29.41</v>
      </c>
      <c r="AJ20" t="n">
        <v>5</v>
      </c>
      <c r="AK20" t="n">
        <v>3</v>
      </c>
      <c r="AL20" t="n">
        <v>60</v>
      </c>
      <c r="AM20" t="n">
        <v>14</v>
      </c>
      <c r="AN20" t="n">
        <v>2</v>
      </c>
      <c r="AO20" t="n">
        <v>14.29</v>
      </c>
      <c r="AP20" t="n">
        <v>2</v>
      </c>
      <c r="AQ20" t="n">
        <v>7</v>
      </c>
      <c r="AR20" t="n">
        <v>28</v>
      </c>
      <c r="AS20" t="n">
        <v>99</v>
      </c>
      <c r="AT20" t="n">
        <v>37</v>
      </c>
      <c r="AU20" t="n">
        <v>37.37</v>
      </c>
      <c r="AV20" t="n">
        <v>0</v>
      </c>
      <c r="AW20" t="n">
        <v>5</v>
      </c>
      <c r="AX20" t="n">
        <v>1</v>
      </c>
      <c r="AY20" t="n">
        <v>20</v>
      </c>
      <c r="AZ20" t="n">
        <v>86</v>
      </c>
      <c r="BA20" t="n">
        <v>65</v>
      </c>
      <c r="BB20" t="n">
        <v>75.58</v>
      </c>
      <c r="BC20" t="n">
        <v>25</v>
      </c>
      <c r="BD20" t="n">
        <v>12</v>
      </c>
      <c r="BE20" t="n">
        <v>48</v>
      </c>
      <c r="BF20" t="n">
        <v>3</v>
      </c>
      <c r="BG20" t="n">
        <v>0</v>
      </c>
      <c r="BH20" t="n">
        <v>0</v>
      </c>
      <c r="BI20" t="n">
        <v>67</v>
      </c>
      <c r="BJ20" t="n">
        <v>17</v>
      </c>
      <c r="BK20" t="n">
        <v>10</v>
      </c>
      <c r="BL20" t="n">
        <v>2</v>
      </c>
      <c r="BM20" t="n">
        <v>0</v>
      </c>
      <c r="BN20" t="n">
        <v>160</v>
      </c>
      <c r="BO20" t="n">
        <v>106</v>
      </c>
      <c r="BP20" t="n">
        <v>66.25</v>
      </c>
      <c r="BQ20" t="n">
        <v>67</v>
      </c>
      <c r="BR20" t="n">
        <v>37</v>
      </c>
      <c r="BS20" t="n">
        <v>55.22</v>
      </c>
      <c r="BT20" t="n">
        <v>60</v>
      </c>
      <c r="BU20" t="n">
        <v>36</v>
      </c>
      <c r="BV20" t="n">
        <v>60</v>
      </c>
      <c r="BW20" t="n">
        <v>82</v>
      </c>
      <c r="BX20" t="n">
        <v>49</v>
      </c>
      <c r="BY20" t="n">
        <v>59.76</v>
      </c>
      <c r="BZ20" t="n">
        <v>34</v>
      </c>
      <c r="CA20" t="n">
        <v>29</v>
      </c>
      <c r="CB20" t="n">
        <v>85.29000000000001</v>
      </c>
      <c r="CC20" t="n">
        <v>4.92</v>
      </c>
    </row>
    <row r="21" ht="12" customHeight="1" s="2">
      <c r="E21" t="inlineStr">
        <is>
          <t>Subiaco</t>
        </is>
      </c>
      <c r="F21" t="inlineStr">
        <is>
          <t>4-3-3 (100.0%)</t>
        </is>
      </c>
      <c r="G21" t="n">
        <v>0</v>
      </c>
      <c r="H21" t="n">
        <v>0.13</v>
      </c>
      <c r="I21" t="n">
        <v>5</v>
      </c>
      <c r="J21" t="n">
        <v>1</v>
      </c>
      <c r="K21" t="n">
        <v>20</v>
      </c>
      <c r="L21" t="n">
        <v>328</v>
      </c>
      <c r="M21" t="n">
        <v>215</v>
      </c>
      <c r="N21" t="n">
        <v>65.55</v>
      </c>
      <c r="O21" t="n">
        <v>44.1</v>
      </c>
      <c r="P21" t="n">
        <v>164</v>
      </c>
      <c r="Q21" t="n">
        <v>39</v>
      </c>
      <c r="R21" t="n">
        <v>58</v>
      </c>
      <c r="S21" t="n">
        <v>67</v>
      </c>
      <c r="T21" t="n">
        <v>89</v>
      </c>
      <c r="U21" t="n">
        <v>41</v>
      </c>
      <c r="V21" t="n">
        <v>36</v>
      </c>
      <c r="W21" t="n">
        <v>12</v>
      </c>
      <c r="X21" t="n">
        <v>242</v>
      </c>
      <c r="Y21" t="n">
        <v>107</v>
      </c>
      <c r="Z21" t="n">
        <v>44.21</v>
      </c>
      <c r="AA21" t="n">
        <v>4</v>
      </c>
      <c r="AB21" t="n">
        <v>1</v>
      </c>
      <c r="AC21" t="n">
        <v>25</v>
      </c>
      <c r="AD21" t="n">
        <v>29</v>
      </c>
      <c r="AE21" t="n">
        <v>4</v>
      </c>
      <c r="AF21" t="n">
        <v>13.79</v>
      </c>
      <c r="AG21" t="n">
        <v>24</v>
      </c>
      <c r="AH21" t="n">
        <v>1</v>
      </c>
      <c r="AI21" t="n">
        <v>4.17</v>
      </c>
      <c r="AJ21" t="n">
        <v>5</v>
      </c>
      <c r="AK21" t="n">
        <v>1</v>
      </c>
      <c r="AL21" t="n">
        <v>20</v>
      </c>
      <c r="AM21" t="n">
        <v>8</v>
      </c>
      <c r="AN21" t="n">
        <v>1</v>
      </c>
      <c r="AO21" t="n">
        <v>12.5</v>
      </c>
      <c r="AP21" t="n">
        <v>1</v>
      </c>
      <c r="AQ21" t="n">
        <v>3</v>
      </c>
      <c r="AR21" t="n">
        <v>7</v>
      </c>
      <c r="AS21" t="n">
        <v>86</v>
      </c>
      <c r="AT21" t="n">
        <v>21</v>
      </c>
      <c r="AU21" t="n">
        <v>24.42</v>
      </c>
      <c r="AV21" t="n">
        <v>5</v>
      </c>
      <c r="AW21" t="n">
        <v>16</v>
      </c>
      <c r="AX21" t="n">
        <v>14</v>
      </c>
      <c r="AY21" t="n">
        <v>87.5</v>
      </c>
      <c r="AZ21" t="n">
        <v>99</v>
      </c>
      <c r="BA21" t="n">
        <v>62</v>
      </c>
      <c r="BB21" t="n">
        <v>62.63</v>
      </c>
      <c r="BC21" t="n">
        <v>25</v>
      </c>
      <c r="BD21" t="n">
        <v>9</v>
      </c>
      <c r="BE21" t="n">
        <v>36</v>
      </c>
      <c r="BF21" t="n">
        <v>3</v>
      </c>
      <c r="BG21" t="n">
        <v>2</v>
      </c>
      <c r="BH21" t="n">
        <v>66.67</v>
      </c>
      <c r="BI21" t="n">
        <v>36</v>
      </c>
      <c r="BJ21" t="n">
        <v>20</v>
      </c>
      <c r="BK21" t="n">
        <v>8</v>
      </c>
      <c r="BL21" t="n">
        <v>2</v>
      </c>
      <c r="BM21" t="n">
        <v>0</v>
      </c>
      <c r="BN21" t="n">
        <v>144</v>
      </c>
      <c r="BO21" t="n">
        <v>73</v>
      </c>
      <c r="BP21" t="n">
        <v>50.69</v>
      </c>
      <c r="BQ21" t="n">
        <v>79</v>
      </c>
      <c r="BR21" t="n">
        <v>37</v>
      </c>
      <c r="BS21" t="n">
        <v>46.84</v>
      </c>
      <c r="BT21" t="n">
        <v>42</v>
      </c>
      <c r="BU21" t="n">
        <v>23</v>
      </c>
      <c r="BV21" t="n">
        <v>54.76</v>
      </c>
      <c r="BW21" t="n">
        <v>81</v>
      </c>
      <c r="BX21" t="n">
        <v>36</v>
      </c>
      <c r="BY21" t="n">
        <v>44.44</v>
      </c>
      <c r="BZ21" t="n">
        <v>35</v>
      </c>
      <c r="CA21" t="n">
        <v>24</v>
      </c>
      <c r="CB21" t="n">
        <v>68.56999999999999</v>
      </c>
      <c r="CC21" t="n">
        <v>8.960000000000001</v>
      </c>
    </row>
    <row r="22" ht="12" customHeight="1" s="2">
      <c r="A22" t="inlineStr">
        <is>
          <t>2026-05-16</t>
        </is>
      </c>
      <c r="B22" t="inlineStr">
        <is>
          <t>West NTC - Perth 0:1</t>
        </is>
      </c>
      <c r="C22" t="inlineStr">
        <is>
          <t>Australia. Western Australia NPL Women</t>
        </is>
      </c>
      <c r="D22" t="n">
        <v>93</v>
      </c>
      <c r="E22" t="inlineStr">
        <is>
          <t>Perth</t>
        </is>
      </c>
      <c r="F22" t="inlineStr">
        <is>
          <t>4-1-4-1 (100.0%)</t>
        </is>
      </c>
      <c r="G22" t="n">
        <v>1</v>
      </c>
      <c r="H22" t="n">
        <v>1</v>
      </c>
      <c r="I22" t="n">
        <v>12</v>
      </c>
      <c r="J22" t="n">
        <v>6</v>
      </c>
      <c r="K22" t="n">
        <v>50</v>
      </c>
      <c r="L22" t="n">
        <v>596</v>
      </c>
      <c r="M22" t="n">
        <v>453</v>
      </c>
      <c r="N22" t="n">
        <v>76.01000000000001</v>
      </c>
      <c r="O22" t="n">
        <v>64.09</v>
      </c>
      <c r="P22" t="n">
        <v>174</v>
      </c>
      <c r="Q22" t="n">
        <v>25</v>
      </c>
      <c r="R22" t="n">
        <v>63</v>
      </c>
      <c r="S22" t="n">
        <v>86</v>
      </c>
      <c r="T22" t="n">
        <v>121</v>
      </c>
      <c r="U22" t="n">
        <v>32</v>
      </c>
      <c r="V22" t="n">
        <v>64</v>
      </c>
      <c r="W22" t="n">
        <v>25</v>
      </c>
      <c r="X22" t="n">
        <v>222</v>
      </c>
      <c r="Y22" t="n">
        <v>125</v>
      </c>
      <c r="Z22" t="n">
        <v>56.31</v>
      </c>
      <c r="AA22" t="n">
        <v>7</v>
      </c>
      <c r="AB22" t="n">
        <v>4</v>
      </c>
      <c r="AC22" t="n">
        <v>57.14</v>
      </c>
      <c r="AD22" t="n">
        <v>41</v>
      </c>
      <c r="AE22" t="n">
        <v>8</v>
      </c>
      <c r="AF22" t="n">
        <v>19.51</v>
      </c>
      <c r="AG22" t="n">
        <v>15</v>
      </c>
      <c r="AH22" t="n">
        <v>3</v>
      </c>
      <c r="AI22" t="n">
        <v>20</v>
      </c>
      <c r="AJ22" t="n">
        <v>9</v>
      </c>
      <c r="AK22" t="n">
        <v>2</v>
      </c>
      <c r="AL22" t="n">
        <v>22.22</v>
      </c>
      <c r="AM22" t="n">
        <v>10</v>
      </c>
      <c r="AN22" t="n">
        <v>1</v>
      </c>
      <c r="AO22" t="n">
        <v>10</v>
      </c>
      <c r="AP22" t="n">
        <v>2</v>
      </c>
      <c r="AQ22" t="n">
        <v>6</v>
      </c>
      <c r="AR22" t="n">
        <v>12</v>
      </c>
      <c r="AS22" t="n">
        <v>80</v>
      </c>
      <c r="AT22" t="n">
        <v>24</v>
      </c>
      <c r="AU22" t="n">
        <v>30</v>
      </c>
      <c r="AV22" t="n">
        <v>0</v>
      </c>
      <c r="AW22" t="n">
        <v>8</v>
      </c>
      <c r="AX22" t="n">
        <v>6</v>
      </c>
      <c r="AY22" t="n">
        <v>75</v>
      </c>
      <c r="AZ22" t="n">
        <v>111</v>
      </c>
      <c r="BA22" t="n">
        <v>86</v>
      </c>
      <c r="BB22" t="n">
        <v>77.48</v>
      </c>
      <c r="BC22" t="n">
        <v>19</v>
      </c>
      <c r="BD22" t="n">
        <v>9</v>
      </c>
      <c r="BE22" t="n">
        <v>47.37</v>
      </c>
      <c r="BF22" t="n">
        <v>3</v>
      </c>
      <c r="BG22" t="n">
        <v>1</v>
      </c>
      <c r="BH22" t="n">
        <v>33.33</v>
      </c>
      <c r="BI22" t="n">
        <v>62</v>
      </c>
      <c r="BJ22" t="n">
        <v>14</v>
      </c>
      <c r="BK22" t="n">
        <v>7</v>
      </c>
      <c r="BL22" t="n">
        <v>0</v>
      </c>
      <c r="BM22" t="n">
        <v>0</v>
      </c>
      <c r="BN22" t="n">
        <v>200</v>
      </c>
      <c r="BO22" t="n">
        <v>123</v>
      </c>
      <c r="BP22" t="n">
        <v>61.5</v>
      </c>
      <c r="BQ22" t="n">
        <v>59</v>
      </c>
      <c r="BR22" t="n">
        <v>23</v>
      </c>
      <c r="BS22" t="n">
        <v>38.98</v>
      </c>
      <c r="BT22" t="n">
        <v>74</v>
      </c>
      <c r="BU22" t="n">
        <v>39</v>
      </c>
      <c r="BV22" t="n">
        <v>52.7</v>
      </c>
      <c r="BW22" t="n">
        <v>79</v>
      </c>
      <c r="BX22" t="n">
        <v>47</v>
      </c>
      <c r="BY22" t="n">
        <v>59.49</v>
      </c>
      <c r="BZ22" t="n">
        <v>44</v>
      </c>
      <c r="CA22" t="n">
        <v>29</v>
      </c>
      <c r="CB22" t="n">
        <v>65.91</v>
      </c>
      <c r="CC22" t="n">
        <v>3.76</v>
      </c>
    </row>
    <row r="23" ht="12" customHeight="1" s="2">
      <c r="E23" t="inlineStr">
        <is>
          <t>West NTC</t>
        </is>
      </c>
      <c r="F23" t="inlineStr">
        <is>
          <t>4-4-2 (100.0%)</t>
        </is>
      </c>
      <c r="G23" t="n">
        <v>0</v>
      </c>
      <c r="H23" t="n">
        <v>0.38</v>
      </c>
      <c r="I23" t="n">
        <v>8</v>
      </c>
      <c r="J23" t="n">
        <v>4</v>
      </c>
      <c r="K23" t="n">
        <v>50</v>
      </c>
      <c r="L23" t="n">
        <v>311</v>
      </c>
      <c r="M23" t="n">
        <v>189</v>
      </c>
      <c r="N23" t="n">
        <v>60.77</v>
      </c>
      <c r="O23" t="n">
        <v>35.91</v>
      </c>
      <c r="P23" t="n">
        <v>181</v>
      </c>
      <c r="Q23" t="n">
        <v>34</v>
      </c>
      <c r="R23" t="n">
        <v>93</v>
      </c>
      <c r="S23" t="n">
        <v>54</v>
      </c>
      <c r="T23" t="n">
        <v>102</v>
      </c>
      <c r="U23" t="n">
        <v>49</v>
      </c>
      <c r="V23" t="n">
        <v>41</v>
      </c>
      <c r="W23" t="n">
        <v>12</v>
      </c>
      <c r="X23" t="n">
        <v>222</v>
      </c>
      <c r="Y23" t="n">
        <v>92</v>
      </c>
      <c r="Z23" t="n">
        <v>41.44</v>
      </c>
      <c r="AA23" t="n">
        <v>5</v>
      </c>
      <c r="AB23" t="n">
        <v>2</v>
      </c>
      <c r="AC23" t="n">
        <v>40</v>
      </c>
      <c r="AD23" t="n">
        <v>23</v>
      </c>
      <c r="AE23" t="n">
        <v>6</v>
      </c>
      <c r="AF23" t="n">
        <v>26.09</v>
      </c>
      <c r="AG23" t="n">
        <v>22</v>
      </c>
      <c r="AH23" t="n">
        <v>1</v>
      </c>
      <c r="AI23" t="n">
        <v>4.55</v>
      </c>
      <c r="AJ23" t="n">
        <v>3</v>
      </c>
      <c r="AK23" t="n">
        <v>0</v>
      </c>
      <c r="AL23" t="n">
        <v>0</v>
      </c>
      <c r="AM23" t="n">
        <v>6</v>
      </c>
      <c r="AN23" t="n">
        <v>1</v>
      </c>
      <c r="AO23" t="n">
        <v>16.67</v>
      </c>
      <c r="AP23" t="n">
        <v>1</v>
      </c>
      <c r="AQ23" t="n">
        <v>1</v>
      </c>
      <c r="AR23" t="n">
        <v>7</v>
      </c>
      <c r="AS23" t="n">
        <v>111</v>
      </c>
      <c r="AT23" t="n">
        <v>25</v>
      </c>
      <c r="AU23" t="n">
        <v>22.52</v>
      </c>
      <c r="AV23" t="n">
        <v>1</v>
      </c>
      <c r="AW23" t="n">
        <v>12</v>
      </c>
      <c r="AX23" t="n">
        <v>6</v>
      </c>
      <c r="AY23" t="n">
        <v>50</v>
      </c>
      <c r="AZ23" t="n">
        <v>80</v>
      </c>
      <c r="BA23" t="n">
        <v>56</v>
      </c>
      <c r="BB23" t="n">
        <v>70</v>
      </c>
      <c r="BC23" t="n">
        <v>19</v>
      </c>
      <c r="BD23" t="n">
        <v>8</v>
      </c>
      <c r="BE23" t="n">
        <v>42.11</v>
      </c>
      <c r="BF23" t="n">
        <v>1</v>
      </c>
      <c r="BG23" t="n">
        <v>1</v>
      </c>
      <c r="BH23" t="n">
        <v>100</v>
      </c>
      <c r="BI23" t="n">
        <v>63</v>
      </c>
      <c r="BJ23" t="n">
        <v>16</v>
      </c>
      <c r="BK23" t="n">
        <v>3</v>
      </c>
      <c r="BL23" t="n">
        <v>0</v>
      </c>
      <c r="BM23" t="n">
        <v>0</v>
      </c>
      <c r="BN23" t="n">
        <v>134</v>
      </c>
      <c r="BO23" t="n">
        <v>60</v>
      </c>
      <c r="BP23" t="n">
        <v>44.78</v>
      </c>
      <c r="BQ23" t="n">
        <v>48</v>
      </c>
      <c r="BR23" t="n">
        <v>16</v>
      </c>
      <c r="BS23" t="n">
        <v>33.33</v>
      </c>
      <c r="BT23" t="n">
        <v>38</v>
      </c>
      <c r="BU23" t="n">
        <v>16</v>
      </c>
      <c r="BV23" t="n">
        <v>42.11</v>
      </c>
      <c r="BW23" t="n">
        <v>74</v>
      </c>
      <c r="BX23" t="n">
        <v>21</v>
      </c>
      <c r="BY23" t="n">
        <v>28.38</v>
      </c>
      <c r="BZ23" t="n">
        <v>51</v>
      </c>
      <c r="CA23" t="n">
        <v>30</v>
      </c>
      <c r="CB23" t="n">
        <v>58.82</v>
      </c>
      <c r="CC23" t="n">
        <v>17.62</v>
      </c>
    </row>
    <row r="24" ht="12" customHeight="1" s="2">
      <c r="A24" t="inlineStr">
        <is>
          <t>2026-05-02</t>
        </is>
      </c>
      <c r="B24" t="inlineStr">
        <is>
          <t>Perth - Perth RedStar 1:1</t>
        </is>
      </c>
      <c r="C24" t="inlineStr">
        <is>
          <t>Australia. Western Australia NPL Women</t>
        </is>
      </c>
      <c r="D24" t="n">
        <v>96</v>
      </c>
      <c r="E24" t="inlineStr">
        <is>
          <t>Perth</t>
        </is>
      </c>
      <c r="F24" t="inlineStr">
        <is>
          <t>4-1-4-1 (100.0%)</t>
        </is>
      </c>
      <c r="G24" t="n">
        <v>1</v>
      </c>
      <c r="H24" t="n">
        <v>1.38</v>
      </c>
      <c r="I24" t="n">
        <v>11</v>
      </c>
      <c r="J24" t="n">
        <v>6</v>
      </c>
      <c r="K24" t="n">
        <v>54.55</v>
      </c>
      <c r="L24" t="n">
        <v>386</v>
      </c>
      <c r="M24" t="n">
        <v>280</v>
      </c>
      <c r="N24" t="n">
        <v>72.54000000000001</v>
      </c>
      <c r="O24" t="n">
        <v>45.86</v>
      </c>
      <c r="P24" t="n">
        <v>155</v>
      </c>
      <c r="Q24" t="n">
        <v>19</v>
      </c>
      <c r="R24" t="n">
        <v>60</v>
      </c>
      <c r="S24" t="n">
        <v>76</v>
      </c>
      <c r="T24" t="n">
        <v>120</v>
      </c>
      <c r="U24" t="n">
        <v>47</v>
      </c>
      <c r="V24" t="n">
        <v>63</v>
      </c>
      <c r="W24" t="n">
        <v>10</v>
      </c>
      <c r="X24" t="n">
        <v>259</v>
      </c>
      <c r="Y24" t="n">
        <v>141</v>
      </c>
      <c r="Z24" t="n">
        <v>54.44</v>
      </c>
      <c r="AA24" t="n">
        <v>4</v>
      </c>
      <c r="AB24" t="n">
        <v>2</v>
      </c>
      <c r="AC24" t="n">
        <v>50</v>
      </c>
      <c r="AD24" t="n">
        <v>27</v>
      </c>
      <c r="AE24" t="n">
        <v>7</v>
      </c>
      <c r="AF24" t="n">
        <v>25.93</v>
      </c>
      <c r="AG24" t="n">
        <v>19</v>
      </c>
      <c r="AH24" t="n">
        <v>3</v>
      </c>
      <c r="AI24" t="n">
        <v>15.79</v>
      </c>
      <c r="AJ24" t="n">
        <v>6</v>
      </c>
      <c r="AK24" t="n">
        <v>1</v>
      </c>
      <c r="AL24" t="n">
        <v>16.67</v>
      </c>
      <c r="AM24" t="n">
        <v>15</v>
      </c>
      <c r="AN24" t="n">
        <v>5</v>
      </c>
      <c r="AO24" t="n">
        <v>33.33</v>
      </c>
      <c r="AP24" t="n">
        <v>4</v>
      </c>
      <c r="AQ24" t="n">
        <v>5</v>
      </c>
      <c r="AR24" t="n">
        <v>18</v>
      </c>
      <c r="AS24" t="n">
        <v>76</v>
      </c>
      <c r="AT24" t="n">
        <v>18</v>
      </c>
      <c r="AU24" t="n">
        <v>23.68</v>
      </c>
      <c r="AV24" t="n">
        <v>1</v>
      </c>
      <c r="AW24" t="n">
        <v>6</v>
      </c>
      <c r="AX24" t="n">
        <v>1</v>
      </c>
      <c r="AY24" t="n">
        <v>16.67</v>
      </c>
      <c r="AZ24" t="n">
        <v>129</v>
      </c>
      <c r="BA24" t="n">
        <v>102</v>
      </c>
      <c r="BB24" t="n">
        <v>79.06999999999999</v>
      </c>
      <c r="BC24" t="n">
        <v>33</v>
      </c>
      <c r="BD24" t="n">
        <v>11</v>
      </c>
      <c r="BE24" t="n">
        <v>33.33</v>
      </c>
      <c r="BF24" t="n">
        <v>1</v>
      </c>
      <c r="BG24" t="n">
        <v>1</v>
      </c>
      <c r="BH24" t="n">
        <v>100</v>
      </c>
      <c r="BI24" t="n">
        <v>51</v>
      </c>
      <c r="BJ24" t="n">
        <v>32</v>
      </c>
      <c r="BK24" t="n">
        <v>8</v>
      </c>
      <c r="BL24" t="n">
        <v>1</v>
      </c>
      <c r="BM24" t="n">
        <v>0</v>
      </c>
      <c r="BN24" t="n">
        <v>161</v>
      </c>
      <c r="BO24" t="n">
        <v>105</v>
      </c>
      <c r="BP24" t="n">
        <v>65.22</v>
      </c>
      <c r="BQ24" t="n">
        <v>65</v>
      </c>
      <c r="BR24" t="n">
        <v>27</v>
      </c>
      <c r="BS24" t="n">
        <v>41.54</v>
      </c>
      <c r="BT24" t="n">
        <v>61</v>
      </c>
      <c r="BU24" t="n">
        <v>32</v>
      </c>
      <c r="BV24" t="n">
        <v>52.46</v>
      </c>
      <c r="BW24" t="n">
        <v>81</v>
      </c>
      <c r="BX24" t="n">
        <v>53</v>
      </c>
      <c r="BY24" t="n">
        <v>65.43000000000001</v>
      </c>
      <c r="BZ24" t="n">
        <v>26</v>
      </c>
      <c r="CA24" t="n">
        <v>17</v>
      </c>
      <c r="CB24" t="n">
        <v>65.38</v>
      </c>
      <c r="CC24" t="n">
        <v>7.16</v>
      </c>
    </row>
    <row r="25" ht="12" customHeight="1" s="2">
      <c r="E25" t="inlineStr">
        <is>
          <t>Perth RedStar</t>
        </is>
      </c>
      <c r="F25" t="inlineStr">
        <is>
          <t>4-4-2 (100.0%)</t>
        </is>
      </c>
      <c r="G25" t="n">
        <v>1</v>
      </c>
      <c r="H25" t="n">
        <v>0.6</v>
      </c>
      <c r="I25" t="n">
        <v>6</v>
      </c>
      <c r="J25" t="n">
        <v>1</v>
      </c>
      <c r="K25" t="n">
        <v>16.67</v>
      </c>
      <c r="L25" t="n">
        <v>420</v>
      </c>
      <c r="M25" t="n">
        <v>315</v>
      </c>
      <c r="N25" t="n">
        <v>75</v>
      </c>
      <c r="O25" t="n">
        <v>54.14</v>
      </c>
      <c r="P25" t="n">
        <v>157</v>
      </c>
      <c r="Q25" t="n">
        <v>21</v>
      </c>
      <c r="R25" t="n">
        <v>68</v>
      </c>
      <c r="S25" t="n">
        <v>68</v>
      </c>
      <c r="T25" t="n">
        <v>105</v>
      </c>
      <c r="U25" t="n">
        <v>44</v>
      </c>
      <c r="V25" t="n">
        <v>46</v>
      </c>
      <c r="W25" t="n">
        <v>15</v>
      </c>
      <c r="X25" t="n">
        <v>259</v>
      </c>
      <c r="Y25" t="n">
        <v>116</v>
      </c>
      <c r="Z25" t="n">
        <v>44.79</v>
      </c>
      <c r="AA25" t="n">
        <v>3</v>
      </c>
      <c r="AB25" t="n">
        <v>0</v>
      </c>
      <c r="AC25" t="n">
        <v>0</v>
      </c>
      <c r="AD25" t="n">
        <v>30</v>
      </c>
      <c r="AE25" t="n">
        <v>3</v>
      </c>
      <c r="AF25" t="n">
        <v>10</v>
      </c>
      <c r="AG25" t="n">
        <v>21</v>
      </c>
      <c r="AH25" t="n">
        <v>2</v>
      </c>
      <c r="AI25" t="n">
        <v>9.52</v>
      </c>
      <c r="AJ25" t="n">
        <v>5</v>
      </c>
      <c r="AK25" t="n">
        <v>1</v>
      </c>
      <c r="AL25" t="n">
        <v>20</v>
      </c>
      <c r="AM25" t="n">
        <v>10</v>
      </c>
      <c r="AN25" t="n">
        <v>2</v>
      </c>
      <c r="AO25" t="n">
        <v>20</v>
      </c>
      <c r="AP25" t="n">
        <v>1</v>
      </c>
      <c r="AQ25" t="n">
        <v>5</v>
      </c>
      <c r="AR25" t="n">
        <v>7</v>
      </c>
      <c r="AS25" t="n">
        <v>129</v>
      </c>
      <c r="AT25" t="n">
        <v>27</v>
      </c>
      <c r="AU25" t="n">
        <v>20.93</v>
      </c>
      <c r="AV25" t="n">
        <v>1</v>
      </c>
      <c r="AW25" t="n">
        <v>11</v>
      </c>
      <c r="AX25" t="n">
        <v>6</v>
      </c>
      <c r="AY25" t="n">
        <v>54.55</v>
      </c>
      <c r="AZ25" t="n">
        <v>76</v>
      </c>
      <c r="BA25" t="n">
        <v>58</v>
      </c>
      <c r="BB25" t="n">
        <v>76.31999999999999</v>
      </c>
      <c r="BC25" t="n">
        <v>33</v>
      </c>
      <c r="BD25" t="n">
        <v>21</v>
      </c>
      <c r="BE25" t="n">
        <v>63.64</v>
      </c>
      <c r="BF25" t="n">
        <v>7</v>
      </c>
      <c r="BG25" t="n">
        <v>5</v>
      </c>
      <c r="BH25" t="n">
        <v>71.43000000000001</v>
      </c>
      <c r="BI25" t="n">
        <v>48</v>
      </c>
      <c r="BJ25" t="n">
        <v>23</v>
      </c>
      <c r="BK25" t="n">
        <v>5</v>
      </c>
      <c r="BL25" t="n">
        <v>1</v>
      </c>
      <c r="BM25" t="n">
        <v>0</v>
      </c>
      <c r="BN25" t="n">
        <v>155</v>
      </c>
      <c r="BO25" t="n">
        <v>97</v>
      </c>
      <c r="BP25" t="n">
        <v>62.58</v>
      </c>
      <c r="BQ25" t="n">
        <v>51</v>
      </c>
      <c r="BR25" t="n">
        <v>20</v>
      </c>
      <c r="BS25" t="n">
        <v>39.22</v>
      </c>
      <c r="BT25" t="n">
        <v>58</v>
      </c>
      <c r="BU25" t="n">
        <v>31</v>
      </c>
      <c r="BV25" t="n">
        <v>53.45</v>
      </c>
      <c r="BW25" t="n">
        <v>81</v>
      </c>
      <c r="BX25" t="n">
        <v>50</v>
      </c>
      <c r="BY25" t="n">
        <v>61.73</v>
      </c>
      <c r="BZ25" t="n">
        <v>35</v>
      </c>
      <c r="CA25" t="n">
        <v>29</v>
      </c>
      <c r="CB25" t="n">
        <v>82.86</v>
      </c>
      <c r="CC25" t="n">
        <v>7.69</v>
      </c>
    </row>
    <row r="26" ht="12" customHeight="1" s="2">
      <c r="A26" t="inlineStr">
        <is>
          <t>2026-04-26</t>
        </is>
      </c>
      <c r="B26" t="inlineStr">
        <is>
          <t>UWA Nedlands - Perth 1:3</t>
        </is>
      </c>
      <c r="C26" t="inlineStr">
        <is>
          <t>Australia. Western Australia NPL Women</t>
        </is>
      </c>
      <c r="D26" t="n">
        <v>93</v>
      </c>
      <c r="E26" t="inlineStr">
        <is>
          <t>Perth</t>
        </is>
      </c>
      <c r="F26" t="inlineStr">
        <is>
          <t>4-3-3 (100.0%)</t>
        </is>
      </c>
      <c r="G26" t="n">
        <v>3</v>
      </c>
      <c r="H26" t="n">
        <v>1.68</v>
      </c>
      <c r="I26" t="n">
        <v>17</v>
      </c>
      <c r="J26" t="n">
        <v>8</v>
      </c>
      <c r="K26" t="n">
        <v>47.06</v>
      </c>
      <c r="L26" t="n">
        <v>366</v>
      </c>
      <c r="M26" t="n">
        <v>250</v>
      </c>
      <c r="N26" t="n">
        <v>68.31</v>
      </c>
      <c r="O26" t="n">
        <v>52</v>
      </c>
      <c r="P26" t="n">
        <v>113</v>
      </c>
      <c r="Q26" t="n">
        <v>10</v>
      </c>
      <c r="R26" t="n">
        <v>41</v>
      </c>
      <c r="S26" t="n">
        <v>62</v>
      </c>
      <c r="T26" t="n">
        <v>92</v>
      </c>
      <c r="U26" t="n">
        <v>29</v>
      </c>
      <c r="V26" t="n">
        <v>39</v>
      </c>
      <c r="W26" t="n">
        <v>24</v>
      </c>
      <c r="X26" t="n">
        <v>203</v>
      </c>
      <c r="Y26" t="n">
        <v>106</v>
      </c>
      <c r="Z26" t="n">
        <v>52.22</v>
      </c>
      <c r="AA26" t="n">
        <v>7</v>
      </c>
      <c r="AB26" t="n">
        <v>3</v>
      </c>
      <c r="AC26" t="n">
        <v>42.86</v>
      </c>
      <c r="AD26" t="n">
        <v>50</v>
      </c>
      <c r="AE26" t="n">
        <v>13</v>
      </c>
      <c r="AF26" t="n">
        <v>26</v>
      </c>
      <c r="AG26" t="n">
        <v>20</v>
      </c>
      <c r="AH26" t="n">
        <v>4</v>
      </c>
      <c r="AI26" t="n">
        <v>20</v>
      </c>
      <c r="AJ26" t="n">
        <v>11</v>
      </c>
      <c r="AK26" t="n">
        <v>3</v>
      </c>
      <c r="AL26" t="n">
        <v>27.27</v>
      </c>
      <c r="AM26" t="n">
        <v>29</v>
      </c>
      <c r="AN26" t="n">
        <v>9</v>
      </c>
      <c r="AO26" t="n">
        <v>31.03</v>
      </c>
      <c r="AP26" t="n">
        <v>11</v>
      </c>
      <c r="AQ26" t="n">
        <v>6</v>
      </c>
      <c r="AR26" t="n">
        <v>28</v>
      </c>
      <c r="AS26" t="n">
        <v>73</v>
      </c>
      <c r="AT26" t="n">
        <v>27</v>
      </c>
      <c r="AU26" t="n">
        <v>36.99</v>
      </c>
      <c r="AV26" t="n">
        <v>1</v>
      </c>
      <c r="AW26" t="n">
        <v>4</v>
      </c>
      <c r="AX26" t="n">
        <v>4</v>
      </c>
      <c r="AY26" t="n">
        <v>100</v>
      </c>
      <c r="AZ26" t="n">
        <v>80</v>
      </c>
      <c r="BA26" t="n">
        <v>58</v>
      </c>
      <c r="BB26" t="n">
        <v>72.5</v>
      </c>
      <c r="BC26" t="n">
        <v>19</v>
      </c>
      <c r="BD26" t="n">
        <v>10</v>
      </c>
      <c r="BE26" t="n">
        <v>52.63</v>
      </c>
      <c r="BF26" t="n">
        <v>1</v>
      </c>
      <c r="BG26" t="n">
        <v>0</v>
      </c>
      <c r="BH26" t="n">
        <v>0</v>
      </c>
      <c r="BI26" t="n">
        <v>30</v>
      </c>
      <c r="BJ26" t="n">
        <v>16</v>
      </c>
      <c r="BK26" t="n">
        <v>6</v>
      </c>
      <c r="BL26" t="n">
        <v>0</v>
      </c>
      <c r="BM26" t="n">
        <v>0</v>
      </c>
      <c r="BN26" t="n">
        <v>149</v>
      </c>
      <c r="BO26" t="n">
        <v>88</v>
      </c>
      <c r="BP26" t="n">
        <v>59.06</v>
      </c>
      <c r="BQ26" t="n">
        <v>53</v>
      </c>
      <c r="BR26" t="n">
        <v>23</v>
      </c>
      <c r="BS26" t="n">
        <v>43.4</v>
      </c>
      <c r="BT26" t="n">
        <v>56</v>
      </c>
      <c r="BU26" t="n">
        <v>29</v>
      </c>
      <c r="BV26" t="n">
        <v>51.79</v>
      </c>
      <c r="BW26" t="n">
        <v>84</v>
      </c>
      <c r="BX26" t="n">
        <v>51</v>
      </c>
      <c r="BY26" t="n">
        <v>60.71</v>
      </c>
      <c r="BZ26" t="n">
        <v>41</v>
      </c>
      <c r="CA26" t="n">
        <v>36</v>
      </c>
      <c r="CB26" t="n">
        <v>87.8</v>
      </c>
      <c r="CC26" t="n">
        <v>6.2</v>
      </c>
    </row>
    <row r="27" ht="12" customHeight="1" s="2">
      <c r="E27" t="inlineStr">
        <is>
          <t>UWA Nedlands</t>
        </is>
      </c>
      <c r="F27" t="inlineStr">
        <is>
          <t>4-2-3-1 (100.0%)</t>
        </is>
      </c>
      <c r="G27" t="n">
        <v>1</v>
      </c>
      <c r="H27" t="n">
        <v>0.23</v>
      </c>
      <c r="I27" t="n">
        <v>4</v>
      </c>
      <c r="J27" t="n">
        <v>4</v>
      </c>
      <c r="K27" t="n">
        <v>100</v>
      </c>
      <c r="L27" t="n">
        <v>281</v>
      </c>
      <c r="M27" t="n">
        <v>185</v>
      </c>
      <c r="N27" t="n">
        <v>65.84</v>
      </c>
      <c r="O27" t="n">
        <v>48</v>
      </c>
      <c r="P27" t="n">
        <v>150</v>
      </c>
      <c r="Q27" t="n">
        <v>33</v>
      </c>
      <c r="R27" t="n">
        <v>67</v>
      </c>
      <c r="S27" t="n">
        <v>50</v>
      </c>
      <c r="T27" t="n">
        <v>75</v>
      </c>
      <c r="U27" t="n">
        <v>40</v>
      </c>
      <c r="V27" t="n">
        <v>31</v>
      </c>
      <c r="W27" t="n">
        <v>4</v>
      </c>
      <c r="X27" t="n">
        <v>203</v>
      </c>
      <c r="Y27" t="n">
        <v>93</v>
      </c>
      <c r="Z27" t="n">
        <v>45.81</v>
      </c>
      <c r="AA27" t="n">
        <v>3</v>
      </c>
      <c r="AB27" t="n">
        <v>3</v>
      </c>
      <c r="AC27" t="n">
        <v>100</v>
      </c>
      <c r="AD27" t="n">
        <v>19</v>
      </c>
      <c r="AE27" t="n">
        <v>1</v>
      </c>
      <c r="AF27" t="n">
        <v>5.26</v>
      </c>
      <c r="AG27" t="n">
        <v>32</v>
      </c>
      <c r="AH27" t="n">
        <v>2</v>
      </c>
      <c r="AI27" t="n">
        <v>6.25</v>
      </c>
      <c r="AJ27" t="n">
        <v>3</v>
      </c>
      <c r="AK27" t="n">
        <v>0</v>
      </c>
      <c r="AL27" t="n">
        <v>0</v>
      </c>
      <c r="AM27" t="n">
        <v>10</v>
      </c>
      <c r="AN27" t="n">
        <v>1</v>
      </c>
      <c r="AO27" t="n">
        <v>10</v>
      </c>
      <c r="AP27" t="n">
        <v>1</v>
      </c>
      <c r="AQ27" t="n">
        <v>0</v>
      </c>
      <c r="AR27" t="n">
        <v>3</v>
      </c>
      <c r="AS27" t="n">
        <v>80</v>
      </c>
      <c r="AT27" t="n">
        <v>22</v>
      </c>
      <c r="AU27" t="n">
        <v>27.5</v>
      </c>
      <c r="AV27" t="n">
        <v>3</v>
      </c>
      <c r="AW27" t="n">
        <v>17</v>
      </c>
      <c r="AX27" t="n">
        <v>8</v>
      </c>
      <c r="AY27" t="n">
        <v>47.06</v>
      </c>
      <c r="AZ27" t="n">
        <v>73</v>
      </c>
      <c r="BA27" t="n">
        <v>46</v>
      </c>
      <c r="BB27" t="n">
        <v>63.01</v>
      </c>
      <c r="BC27" t="n">
        <v>19</v>
      </c>
      <c r="BD27" t="n">
        <v>9</v>
      </c>
      <c r="BE27" t="n">
        <v>47.37</v>
      </c>
      <c r="BF27" t="n">
        <v>4</v>
      </c>
      <c r="BG27" t="n">
        <v>2</v>
      </c>
      <c r="BH27" t="n">
        <v>50</v>
      </c>
      <c r="BI27" t="n">
        <v>60</v>
      </c>
      <c r="BJ27" t="n">
        <v>22</v>
      </c>
      <c r="BK27" t="n">
        <v>5</v>
      </c>
      <c r="BL27" t="n">
        <v>0</v>
      </c>
      <c r="BM27" t="n">
        <v>0</v>
      </c>
      <c r="BN27" t="n">
        <v>116</v>
      </c>
      <c r="BO27" t="n">
        <v>65</v>
      </c>
      <c r="BP27" t="n">
        <v>56.03</v>
      </c>
      <c r="BQ27" t="n">
        <v>57</v>
      </c>
      <c r="BR27" t="n">
        <v>23</v>
      </c>
      <c r="BS27" t="n">
        <v>40.35</v>
      </c>
      <c r="BT27" t="n">
        <v>44</v>
      </c>
      <c r="BU27" t="n">
        <v>23</v>
      </c>
      <c r="BV27" t="n">
        <v>52.27</v>
      </c>
      <c r="BW27" t="n">
        <v>68</v>
      </c>
      <c r="BX27" t="n">
        <v>34</v>
      </c>
      <c r="BY27" t="n">
        <v>50</v>
      </c>
      <c r="BZ27" t="n">
        <v>31</v>
      </c>
      <c r="CA27" t="n">
        <v>22</v>
      </c>
      <c r="CB27" t="n">
        <v>70.97</v>
      </c>
      <c r="CC27" t="n">
        <v>11.41</v>
      </c>
    </row>
    <row r="28" ht="12" customHeight="1" s="2">
      <c r="A28" t="inlineStr">
        <is>
          <t>2026-04-17</t>
        </is>
      </c>
      <c r="B28" t="inlineStr">
        <is>
          <t>Perth - Balcatta 0:0</t>
        </is>
      </c>
      <c r="C28" t="inlineStr">
        <is>
          <t>Australia. Western Australia NPL Women</t>
        </is>
      </c>
      <c r="D28" t="n">
        <v>99</v>
      </c>
      <c r="E28" t="inlineStr">
        <is>
          <t>Perth</t>
        </is>
      </c>
      <c r="F28" t="inlineStr">
        <is>
          <t>4-1-4-1 (100.0%)</t>
        </is>
      </c>
      <c r="G28" t="n">
        <v>0</v>
      </c>
      <c r="H28" t="n">
        <v>1.24</v>
      </c>
      <c r="I28" t="n">
        <v>13</v>
      </c>
      <c r="J28" t="n">
        <v>4</v>
      </c>
      <c r="K28" t="n">
        <v>30.77</v>
      </c>
      <c r="L28" t="n">
        <v>391</v>
      </c>
      <c r="M28" t="n">
        <v>281</v>
      </c>
      <c r="N28" t="n">
        <v>71.87</v>
      </c>
      <c r="O28" t="n">
        <v>39.92</v>
      </c>
      <c r="P28" t="n">
        <v>137</v>
      </c>
      <c r="Q28" t="n">
        <v>17</v>
      </c>
      <c r="R28" t="n">
        <v>60</v>
      </c>
      <c r="S28" t="n">
        <v>60</v>
      </c>
      <c r="T28" t="n">
        <v>115</v>
      </c>
      <c r="U28" t="n">
        <v>55</v>
      </c>
      <c r="V28" t="n">
        <v>37</v>
      </c>
      <c r="W28" t="n">
        <v>23</v>
      </c>
      <c r="X28" t="n">
        <v>200</v>
      </c>
      <c r="Y28" t="n">
        <v>98</v>
      </c>
      <c r="Z28" t="n">
        <v>49</v>
      </c>
      <c r="AA28" t="n">
        <v>4</v>
      </c>
      <c r="AB28" t="n">
        <v>2</v>
      </c>
      <c r="AC28" t="n">
        <v>50</v>
      </c>
      <c r="AD28" t="n">
        <v>34</v>
      </c>
      <c r="AE28" t="n">
        <v>12</v>
      </c>
      <c r="AF28" t="n">
        <v>35.29</v>
      </c>
      <c r="AG28" t="n">
        <v>20</v>
      </c>
      <c r="AH28" t="n">
        <v>1</v>
      </c>
      <c r="AI28" t="n">
        <v>5</v>
      </c>
      <c r="AJ28" t="n">
        <v>4</v>
      </c>
      <c r="AK28" t="n">
        <v>1</v>
      </c>
      <c r="AL28" t="n">
        <v>25</v>
      </c>
      <c r="AM28" t="n">
        <v>17</v>
      </c>
      <c r="AN28" t="n">
        <v>8</v>
      </c>
      <c r="AO28" t="n">
        <v>47.06</v>
      </c>
      <c r="AP28" t="n">
        <v>7</v>
      </c>
      <c r="AQ28" t="n">
        <v>3</v>
      </c>
      <c r="AR28" t="n">
        <v>16</v>
      </c>
      <c r="AS28" t="n">
        <v>68</v>
      </c>
      <c r="AT28" t="n">
        <v>22</v>
      </c>
      <c r="AU28" t="n">
        <v>32.35</v>
      </c>
      <c r="AV28" t="n">
        <v>0</v>
      </c>
      <c r="AW28" t="n">
        <v>10</v>
      </c>
      <c r="AX28" t="n">
        <v>4</v>
      </c>
      <c r="AY28" t="n">
        <v>40</v>
      </c>
      <c r="AZ28" t="n">
        <v>83</v>
      </c>
      <c r="BA28" t="n">
        <v>56</v>
      </c>
      <c r="BB28" t="n">
        <v>67.47</v>
      </c>
      <c r="BC28" t="n">
        <v>16</v>
      </c>
      <c r="BD28" t="n">
        <v>6</v>
      </c>
      <c r="BE28" t="n">
        <v>37.5</v>
      </c>
      <c r="BF28" t="n">
        <v>0</v>
      </c>
      <c r="BG28" t="n">
        <v>0</v>
      </c>
      <c r="BH28" t="n">
        <v>0</v>
      </c>
      <c r="BI28" t="n">
        <v>60</v>
      </c>
      <c r="BJ28" t="n">
        <v>14</v>
      </c>
      <c r="BK28" t="n">
        <v>10</v>
      </c>
      <c r="BL28" t="n">
        <v>2</v>
      </c>
      <c r="BM28" t="n">
        <v>0</v>
      </c>
      <c r="BN28" t="n">
        <v>181</v>
      </c>
      <c r="BO28" t="n">
        <v>108</v>
      </c>
      <c r="BP28" t="n">
        <v>59.67</v>
      </c>
      <c r="BQ28" t="n">
        <v>70</v>
      </c>
      <c r="BR28" t="n">
        <v>27</v>
      </c>
      <c r="BS28" t="n">
        <v>38.57</v>
      </c>
      <c r="BT28" t="n">
        <v>49</v>
      </c>
      <c r="BU28" t="n">
        <v>25</v>
      </c>
      <c r="BV28" t="n">
        <v>51.02</v>
      </c>
      <c r="BW28" t="n">
        <v>92</v>
      </c>
      <c r="BX28" t="n">
        <v>48</v>
      </c>
      <c r="BY28" t="n">
        <v>52.17</v>
      </c>
      <c r="BZ28" t="n">
        <v>23</v>
      </c>
      <c r="CA28" t="n">
        <v>18</v>
      </c>
      <c r="CB28" t="n">
        <v>78.26000000000001</v>
      </c>
      <c r="CC28" t="n">
        <v>9.02</v>
      </c>
    </row>
    <row r="29" ht="12" customHeight="1" s="2">
      <c r="E29" t="inlineStr">
        <is>
          <t>Balcatta</t>
        </is>
      </c>
      <c r="F29" t="inlineStr">
        <is>
          <t>4-4-1-1 (100.0%)</t>
        </is>
      </c>
      <c r="G29" t="n">
        <v>0</v>
      </c>
      <c r="H29" t="n">
        <v>0.73</v>
      </c>
      <c r="I29" t="n">
        <v>10</v>
      </c>
      <c r="J29" t="n">
        <v>4</v>
      </c>
      <c r="K29" t="n">
        <v>40</v>
      </c>
      <c r="L29" t="n">
        <v>503</v>
      </c>
      <c r="M29" t="n">
        <v>371</v>
      </c>
      <c r="N29" t="n">
        <v>73.76000000000001</v>
      </c>
      <c r="O29" t="n">
        <v>60.08</v>
      </c>
      <c r="P29" t="n">
        <v>162</v>
      </c>
      <c r="Q29" t="n">
        <v>31</v>
      </c>
      <c r="R29" t="n">
        <v>52</v>
      </c>
      <c r="S29" t="n">
        <v>79</v>
      </c>
      <c r="T29" t="n">
        <v>104</v>
      </c>
      <c r="U29" t="n">
        <v>41</v>
      </c>
      <c r="V29" t="n">
        <v>53</v>
      </c>
      <c r="W29" t="n">
        <v>10</v>
      </c>
      <c r="X29" t="n">
        <v>200</v>
      </c>
      <c r="Y29" t="n">
        <v>99</v>
      </c>
      <c r="Z29" t="n">
        <v>49.5</v>
      </c>
      <c r="AA29" t="n">
        <v>5</v>
      </c>
      <c r="AB29" t="n">
        <v>1</v>
      </c>
      <c r="AC29" t="n">
        <v>20</v>
      </c>
      <c r="AD29" t="n">
        <v>41</v>
      </c>
      <c r="AE29" t="n">
        <v>6</v>
      </c>
      <c r="AF29" t="n">
        <v>14.63</v>
      </c>
      <c r="AG29" t="n">
        <v>25</v>
      </c>
      <c r="AH29" t="n">
        <v>4</v>
      </c>
      <c r="AI29" t="n">
        <v>16</v>
      </c>
      <c r="AJ29" t="n">
        <v>4</v>
      </c>
      <c r="AK29" t="n">
        <v>1</v>
      </c>
      <c r="AL29" t="n">
        <v>25</v>
      </c>
      <c r="AM29" t="n">
        <v>20</v>
      </c>
      <c r="AN29" t="n">
        <v>4</v>
      </c>
      <c r="AO29" t="n">
        <v>20</v>
      </c>
      <c r="AP29" t="n">
        <v>4</v>
      </c>
      <c r="AQ29" t="n">
        <v>3</v>
      </c>
      <c r="AR29" t="n">
        <v>13</v>
      </c>
      <c r="AS29" t="n">
        <v>83</v>
      </c>
      <c r="AT29" t="n">
        <v>27</v>
      </c>
      <c r="AU29" t="n">
        <v>32.53</v>
      </c>
      <c r="AV29" t="n">
        <v>0</v>
      </c>
      <c r="AW29" t="n">
        <v>13</v>
      </c>
      <c r="AX29" t="n">
        <v>4</v>
      </c>
      <c r="AY29" t="n">
        <v>30.77</v>
      </c>
      <c r="AZ29" t="n">
        <v>68</v>
      </c>
      <c r="BA29" t="n">
        <v>46</v>
      </c>
      <c r="BB29" t="n">
        <v>67.65000000000001</v>
      </c>
      <c r="BC29" t="n">
        <v>16</v>
      </c>
      <c r="BD29" t="n">
        <v>9</v>
      </c>
      <c r="BE29" t="n">
        <v>56.25</v>
      </c>
      <c r="BF29" t="n">
        <v>0</v>
      </c>
      <c r="BG29" t="n">
        <v>0</v>
      </c>
      <c r="BH29" t="n">
        <v>0</v>
      </c>
      <c r="BI29" t="n">
        <v>33</v>
      </c>
      <c r="BJ29" t="n">
        <v>11</v>
      </c>
      <c r="BK29" t="n">
        <v>6</v>
      </c>
      <c r="BL29" t="n">
        <v>1</v>
      </c>
      <c r="BM29" t="n">
        <v>0</v>
      </c>
      <c r="BN29" t="n">
        <v>184</v>
      </c>
      <c r="BO29" t="n">
        <v>107</v>
      </c>
      <c r="BP29" t="n">
        <v>58.15</v>
      </c>
      <c r="BQ29" t="n">
        <v>53</v>
      </c>
      <c r="BR29" t="n">
        <v>19</v>
      </c>
      <c r="BS29" t="n">
        <v>35.85</v>
      </c>
      <c r="BT29" t="n">
        <v>70</v>
      </c>
      <c r="BU29" t="n">
        <v>38</v>
      </c>
      <c r="BV29" t="n">
        <v>54.29</v>
      </c>
      <c r="BW29" t="n">
        <v>84</v>
      </c>
      <c r="BX29" t="n">
        <v>49</v>
      </c>
      <c r="BY29" t="n">
        <v>58.33</v>
      </c>
      <c r="BZ29" t="n">
        <v>35</v>
      </c>
      <c r="CA29" t="n">
        <v>32</v>
      </c>
      <c r="CB29" t="n">
        <v>91.43000000000001</v>
      </c>
      <c r="CC29" t="n">
        <v>12.58</v>
      </c>
    </row>
    <row r="30" ht="12" customHeight="1" s="2">
      <c r="A30" t="inlineStr">
        <is>
          <t>2026-04-10</t>
        </is>
      </c>
      <c r="B30" t="inlineStr">
        <is>
          <t>Perth - Fremantle City 0:0</t>
        </is>
      </c>
      <c r="C30" t="inlineStr">
        <is>
          <t>Australia. Western Australia NPL Women</t>
        </is>
      </c>
      <c r="D30" t="n">
        <v>95</v>
      </c>
      <c r="E30" t="inlineStr">
        <is>
          <t>Perth</t>
        </is>
      </c>
      <c r="F30" t="inlineStr">
        <is>
          <t>4-2-3-1 (48.4%)</t>
        </is>
      </c>
      <c r="G30" t="n">
        <v>0</v>
      </c>
      <c r="H30" t="n">
        <v>0.53</v>
      </c>
      <c r="I30" t="n">
        <v>10</v>
      </c>
      <c r="J30" t="n">
        <v>3</v>
      </c>
      <c r="K30" t="n">
        <v>30</v>
      </c>
      <c r="L30" t="n">
        <v>516</v>
      </c>
      <c r="M30" t="n">
        <v>416</v>
      </c>
      <c r="N30" t="n">
        <v>80.62</v>
      </c>
      <c r="O30" t="n">
        <v>51.92</v>
      </c>
      <c r="P30" t="n">
        <v>128</v>
      </c>
      <c r="Q30" t="n">
        <v>18</v>
      </c>
      <c r="R30" t="n">
        <v>53</v>
      </c>
      <c r="S30" t="n">
        <v>57</v>
      </c>
      <c r="T30" t="n">
        <v>97</v>
      </c>
      <c r="U30" t="n">
        <v>54</v>
      </c>
      <c r="V30" t="n">
        <v>32</v>
      </c>
      <c r="W30" t="n">
        <v>11</v>
      </c>
      <c r="X30" t="n">
        <v>173</v>
      </c>
      <c r="Y30" t="n">
        <v>87</v>
      </c>
      <c r="Z30" t="n">
        <v>50.29</v>
      </c>
      <c r="AA30" t="n">
        <v>5</v>
      </c>
      <c r="AB30" t="n">
        <v>2</v>
      </c>
      <c r="AC30" t="n">
        <v>40</v>
      </c>
      <c r="AD30" t="n">
        <v>31</v>
      </c>
      <c r="AE30" t="n">
        <v>9</v>
      </c>
      <c r="AF30" t="n">
        <v>29.03</v>
      </c>
      <c r="AG30" t="n">
        <v>15</v>
      </c>
      <c r="AH30" t="n">
        <v>0</v>
      </c>
      <c r="AI30" t="n">
        <v>0</v>
      </c>
      <c r="AJ30" t="n">
        <v>3</v>
      </c>
      <c r="AK30" t="n">
        <v>0</v>
      </c>
      <c r="AL30" t="n">
        <v>0</v>
      </c>
      <c r="AM30" t="n">
        <v>13</v>
      </c>
      <c r="AN30" t="n">
        <v>4</v>
      </c>
      <c r="AO30" t="n">
        <v>30.77</v>
      </c>
      <c r="AP30" t="n">
        <v>3</v>
      </c>
      <c r="AQ30" t="n">
        <v>5</v>
      </c>
      <c r="AR30" t="n">
        <v>14</v>
      </c>
      <c r="AS30" t="n">
        <v>57</v>
      </c>
      <c r="AT30" t="n">
        <v>20</v>
      </c>
      <c r="AU30" t="n">
        <v>35.09</v>
      </c>
      <c r="AV30" t="n">
        <v>0</v>
      </c>
      <c r="AW30" t="n">
        <v>8</v>
      </c>
      <c r="AX30" t="n">
        <v>0</v>
      </c>
      <c r="AY30" t="n">
        <v>0</v>
      </c>
      <c r="AZ30" t="n">
        <v>77</v>
      </c>
      <c r="BA30" t="n">
        <v>49</v>
      </c>
      <c r="BB30" t="n">
        <v>63.64</v>
      </c>
      <c r="BC30" t="n">
        <v>11</v>
      </c>
      <c r="BD30" t="n">
        <v>2</v>
      </c>
      <c r="BE30" t="n">
        <v>18.18</v>
      </c>
      <c r="BF30" t="n">
        <v>3</v>
      </c>
      <c r="BG30" t="n">
        <v>3</v>
      </c>
      <c r="BH30" t="n">
        <v>100</v>
      </c>
      <c r="BI30" t="n">
        <v>60</v>
      </c>
      <c r="BJ30" t="n">
        <v>25</v>
      </c>
      <c r="BK30" t="n">
        <v>7</v>
      </c>
      <c r="BL30" t="n">
        <v>0</v>
      </c>
      <c r="BM30" t="n">
        <v>0</v>
      </c>
      <c r="BN30" t="n">
        <v>172</v>
      </c>
      <c r="BO30" t="n">
        <v>111</v>
      </c>
      <c r="BP30" t="n">
        <v>64.53</v>
      </c>
      <c r="BQ30" t="n">
        <v>54</v>
      </c>
      <c r="BR30" t="n">
        <v>23</v>
      </c>
      <c r="BS30" t="n">
        <v>42.59</v>
      </c>
      <c r="BT30" t="n">
        <v>61</v>
      </c>
      <c r="BU30" t="n">
        <v>29</v>
      </c>
      <c r="BV30" t="n">
        <v>47.54</v>
      </c>
      <c r="BW30" t="n">
        <v>71</v>
      </c>
      <c r="BX30" t="n">
        <v>51</v>
      </c>
      <c r="BY30" t="n">
        <v>71.83</v>
      </c>
      <c r="BZ30" t="n">
        <v>19</v>
      </c>
      <c r="CA30" t="n">
        <v>16</v>
      </c>
      <c r="CB30" t="n">
        <v>84.20999999999999</v>
      </c>
      <c r="CC30" t="n">
        <v>10.93</v>
      </c>
    </row>
    <row r="31" ht="12" customHeight="1" s="2">
      <c r="E31" t="inlineStr">
        <is>
          <t>Fremantle City</t>
        </is>
      </c>
      <c r="F31" t="inlineStr">
        <is>
          <t>4-2-3-1 (100.0%)</t>
        </is>
      </c>
      <c r="G31" t="n">
        <v>0</v>
      </c>
      <c r="H31" t="n">
        <v>0.39</v>
      </c>
      <c r="I31" t="n">
        <v>8</v>
      </c>
      <c r="J31" t="n">
        <v>0</v>
      </c>
      <c r="K31" t="n">
        <v>0</v>
      </c>
      <c r="L31" t="n">
        <v>417</v>
      </c>
      <c r="M31" t="n">
        <v>314</v>
      </c>
      <c r="N31" t="n">
        <v>75.3</v>
      </c>
      <c r="O31" t="n">
        <v>48.08</v>
      </c>
      <c r="P31" t="n">
        <v>144</v>
      </c>
      <c r="Q31" t="n">
        <v>26</v>
      </c>
      <c r="R31" t="n">
        <v>35</v>
      </c>
      <c r="S31" t="n">
        <v>83</v>
      </c>
      <c r="T31" t="n">
        <v>79</v>
      </c>
      <c r="U31" t="n">
        <v>36</v>
      </c>
      <c r="V31" t="n">
        <v>38</v>
      </c>
      <c r="W31" t="n">
        <v>5</v>
      </c>
      <c r="X31" t="n">
        <v>173</v>
      </c>
      <c r="Y31" t="n">
        <v>81</v>
      </c>
      <c r="Z31" t="n">
        <v>46.82</v>
      </c>
      <c r="AA31" t="n">
        <v>6</v>
      </c>
      <c r="AB31" t="n">
        <v>0</v>
      </c>
      <c r="AC31" t="n">
        <v>0</v>
      </c>
      <c r="AD31" t="n">
        <v>33</v>
      </c>
      <c r="AE31" t="n">
        <v>5</v>
      </c>
      <c r="AF31" t="n">
        <v>15.15</v>
      </c>
      <c r="AG31" t="n">
        <v>20</v>
      </c>
      <c r="AH31" t="n">
        <v>3</v>
      </c>
      <c r="AI31" t="n">
        <v>15</v>
      </c>
      <c r="AJ31" t="n">
        <v>5</v>
      </c>
      <c r="AK31" t="n">
        <v>1</v>
      </c>
      <c r="AL31" t="n">
        <v>20</v>
      </c>
      <c r="AM31" t="n">
        <v>16</v>
      </c>
      <c r="AN31" t="n">
        <v>3</v>
      </c>
      <c r="AO31" t="n">
        <v>18.75</v>
      </c>
      <c r="AP31" t="n">
        <v>5</v>
      </c>
      <c r="AQ31" t="n">
        <v>2</v>
      </c>
      <c r="AR31" t="n">
        <v>9</v>
      </c>
      <c r="AS31" t="n">
        <v>77</v>
      </c>
      <c r="AT31" t="n">
        <v>28</v>
      </c>
      <c r="AU31" t="n">
        <v>36.36</v>
      </c>
      <c r="AV31" t="n">
        <v>0</v>
      </c>
      <c r="AW31" t="n">
        <v>10</v>
      </c>
      <c r="AX31" t="n">
        <v>6</v>
      </c>
      <c r="AY31" t="n">
        <v>60</v>
      </c>
      <c r="AZ31" t="n">
        <v>57</v>
      </c>
      <c r="BA31" t="n">
        <v>37</v>
      </c>
      <c r="BB31" t="n">
        <v>64.91</v>
      </c>
      <c r="BC31" t="n">
        <v>11</v>
      </c>
      <c r="BD31" t="n">
        <v>8</v>
      </c>
      <c r="BE31" t="n">
        <v>72.73</v>
      </c>
      <c r="BF31" t="n">
        <v>0</v>
      </c>
      <c r="BG31" t="n">
        <v>0</v>
      </c>
      <c r="BH31" t="n">
        <v>0</v>
      </c>
      <c r="BI31" t="n">
        <v>37</v>
      </c>
      <c r="BJ31" t="n">
        <v>13</v>
      </c>
      <c r="BK31" t="n">
        <v>4</v>
      </c>
      <c r="BL31" t="n">
        <v>1</v>
      </c>
      <c r="BM31" t="n">
        <v>0</v>
      </c>
      <c r="BN31" t="n">
        <v>164</v>
      </c>
      <c r="BO31" t="n">
        <v>108</v>
      </c>
      <c r="BP31" t="n">
        <v>65.84999999999999</v>
      </c>
      <c r="BQ31" t="n">
        <v>34</v>
      </c>
      <c r="BR31" t="n">
        <v>16</v>
      </c>
      <c r="BS31" t="n">
        <v>47.06</v>
      </c>
      <c r="BT31" t="n">
        <v>60</v>
      </c>
      <c r="BU31" t="n">
        <v>33</v>
      </c>
      <c r="BV31" t="n">
        <v>55</v>
      </c>
      <c r="BW31" t="n">
        <v>68</v>
      </c>
      <c r="BX31" t="n">
        <v>43</v>
      </c>
      <c r="BY31" t="n">
        <v>63.24</v>
      </c>
      <c r="BZ31" t="n">
        <v>42</v>
      </c>
      <c r="CA31" t="n">
        <v>33</v>
      </c>
      <c r="CB31" t="n">
        <v>78.56999999999999</v>
      </c>
      <c r="CC31" t="n">
        <v>14.72</v>
      </c>
    </row>
    <row r="32" ht="12" customHeight="1" s="2">
      <c r="A32" t="inlineStr">
        <is>
          <t>2026-04-06</t>
        </is>
      </c>
      <c r="B32" t="inlineStr">
        <is>
          <t>Sorrento - Perth 0:2</t>
        </is>
      </c>
      <c r="C32" t="inlineStr">
        <is>
          <t>Australia. Western Australia NPL Women</t>
        </is>
      </c>
      <c r="D32" t="n">
        <v>94</v>
      </c>
      <c r="E32" t="inlineStr">
        <is>
          <t>Perth</t>
        </is>
      </c>
      <c r="F32" t="inlineStr">
        <is>
          <t>4-1-4-1 (100.0%)</t>
        </is>
      </c>
      <c r="G32" t="n">
        <v>2</v>
      </c>
      <c r="H32" t="n">
        <v>1.84</v>
      </c>
      <c r="I32" t="n">
        <v>30</v>
      </c>
      <c r="J32" t="n">
        <v>8</v>
      </c>
      <c r="K32" t="n">
        <v>26.67</v>
      </c>
      <c r="L32" t="n">
        <v>472</v>
      </c>
      <c r="M32" t="n">
        <v>372</v>
      </c>
      <c r="N32" t="n">
        <v>78.81</v>
      </c>
      <c r="O32" t="n">
        <v>59.94</v>
      </c>
      <c r="P32" t="n">
        <v>112</v>
      </c>
      <c r="Q32" t="n">
        <v>10</v>
      </c>
      <c r="R32" t="n">
        <v>35</v>
      </c>
      <c r="S32" t="n">
        <v>67</v>
      </c>
      <c r="T32" t="n">
        <v>100</v>
      </c>
      <c r="U32" t="n">
        <v>19</v>
      </c>
      <c r="V32" t="n">
        <v>54</v>
      </c>
      <c r="W32" t="n">
        <v>27</v>
      </c>
      <c r="X32" t="n">
        <v>198</v>
      </c>
      <c r="Y32" t="n">
        <v>121</v>
      </c>
      <c r="Z32" t="n">
        <v>61.11</v>
      </c>
      <c r="AA32" t="n">
        <v>18</v>
      </c>
      <c r="AB32" t="n">
        <v>4</v>
      </c>
      <c r="AC32" t="n">
        <v>22.22</v>
      </c>
      <c r="AD32" t="n">
        <v>56</v>
      </c>
      <c r="AE32" t="n">
        <v>23</v>
      </c>
      <c r="AF32" t="n">
        <v>41.07</v>
      </c>
      <c r="AG32" t="n">
        <v>20</v>
      </c>
      <c r="AH32" t="n">
        <v>5</v>
      </c>
      <c r="AI32" t="n">
        <v>25</v>
      </c>
      <c r="AJ32" t="n">
        <v>8</v>
      </c>
      <c r="AK32" t="n">
        <v>3</v>
      </c>
      <c r="AL32" t="n">
        <v>37.5</v>
      </c>
      <c r="AM32" t="n">
        <v>21</v>
      </c>
      <c r="AN32" t="n">
        <v>5</v>
      </c>
      <c r="AO32" t="n">
        <v>23.81</v>
      </c>
      <c r="AP32" t="n">
        <v>7</v>
      </c>
      <c r="AQ32" t="n">
        <v>10</v>
      </c>
      <c r="AR32" t="n">
        <v>24</v>
      </c>
      <c r="AS32" t="n">
        <v>79</v>
      </c>
      <c r="AT32" t="n">
        <v>33</v>
      </c>
      <c r="AU32" t="n">
        <v>41.77</v>
      </c>
      <c r="AV32" t="n">
        <v>0</v>
      </c>
      <c r="AW32" t="n">
        <v>7</v>
      </c>
      <c r="AX32" t="n">
        <v>2</v>
      </c>
      <c r="AY32" t="n">
        <v>28.57</v>
      </c>
      <c r="AZ32" t="n">
        <v>85</v>
      </c>
      <c r="BA32" t="n">
        <v>65</v>
      </c>
      <c r="BB32" t="n">
        <v>76.47</v>
      </c>
      <c r="BC32" t="n">
        <v>9</v>
      </c>
      <c r="BD32" t="n">
        <v>7</v>
      </c>
      <c r="BE32" t="n">
        <v>77.78</v>
      </c>
      <c r="BF32" t="n">
        <v>2</v>
      </c>
      <c r="BG32" t="n">
        <v>1</v>
      </c>
      <c r="BH32" t="n">
        <v>50</v>
      </c>
      <c r="BI32" t="n">
        <v>48</v>
      </c>
      <c r="BJ32" t="n">
        <v>17</v>
      </c>
      <c r="BK32" t="n">
        <v>9</v>
      </c>
      <c r="BL32" t="n">
        <v>0</v>
      </c>
      <c r="BM32" t="n">
        <v>0</v>
      </c>
      <c r="BN32" t="n">
        <v>165</v>
      </c>
      <c r="BO32" t="n">
        <v>120</v>
      </c>
      <c r="BP32" t="n">
        <v>72.73</v>
      </c>
      <c r="BQ32" t="n">
        <v>39</v>
      </c>
      <c r="BR32" t="n">
        <v>18</v>
      </c>
      <c r="BS32" t="n">
        <v>46.15</v>
      </c>
      <c r="BT32" t="n">
        <v>78</v>
      </c>
      <c r="BU32" t="n">
        <v>54</v>
      </c>
      <c r="BV32" t="n">
        <v>69.23</v>
      </c>
      <c r="BW32" t="n">
        <v>98</v>
      </c>
      <c r="BX32" t="n">
        <v>76</v>
      </c>
      <c r="BY32" t="n">
        <v>77.55</v>
      </c>
      <c r="BZ32" t="n">
        <v>25</v>
      </c>
      <c r="CA32" t="n">
        <v>19</v>
      </c>
      <c r="CB32" t="n">
        <v>76</v>
      </c>
      <c r="CC32" t="n">
        <v>4.37</v>
      </c>
    </row>
    <row r="33" ht="12" customHeight="1" s="2">
      <c r="E33" t="inlineStr">
        <is>
          <t>Sorrento</t>
        </is>
      </c>
      <c r="F33" t="inlineStr">
        <is>
          <t>4-5-1 (100.0%)</t>
        </is>
      </c>
      <c r="G33" t="n">
        <v>0</v>
      </c>
      <c r="H33" t="n">
        <v>0.4</v>
      </c>
      <c r="I33" t="n">
        <v>7</v>
      </c>
      <c r="J33" t="n">
        <v>2</v>
      </c>
      <c r="K33" t="n">
        <v>28.57</v>
      </c>
      <c r="L33" t="n">
        <v>316</v>
      </c>
      <c r="M33" t="n">
        <v>221</v>
      </c>
      <c r="N33" t="n">
        <v>69.94</v>
      </c>
      <c r="O33" t="n">
        <v>40.06</v>
      </c>
      <c r="P33" t="n">
        <v>134</v>
      </c>
      <c r="Q33" t="n">
        <v>38</v>
      </c>
      <c r="R33" t="n">
        <v>68</v>
      </c>
      <c r="S33" t="n">
        <v>28</v>
      </c>
      <c r="T33" t="n">
        <v>72</v>
      </c>
      <c r="U33" t="n">
        <v>44</v>
      </c>
      <c r="V33" t="n">
        <v>20</v>
      </c>
      <c r="W33" t="n">
        <v>8</v>
      </c>
      <c r="X33" t="n">
        <v>198</v>
      </c>
      <c r="Y33" t="n">
        <v>74</v>
      </c>
      <c r="Z33" t="n">
        <v>37.37</v>
      </c>
      <c r="AA33" t="n">
        <v>4</v>
      </c>
      <c r="AB33" t="n">
        <v>0</v>
      </c>
      <c r="AC33" t="n">
        <v>0</v>
      </c>
      <c r="AD33" t="n">
        <v>19</v>
      </c>
      <c r="AE33" t="n">
        <v>6</v>
      </c>
      <c r="AF33" t="n">
        <v>31.58</v>
      </c>
      <c r="AG33" t="n">
        <v>41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  <c r="AM33" t="n">
        <v>9</v>
      </c>
      <c r="AN33" t="n">
        <v>3</v>
      </c>
      <c r="AO33" t="n">
        <v>33.33</v>
      </c>
      <c r="AP33" t="n">
        <v>4</v>
      </c>
      <c r="AQ33" t="n">
        <v>3</v>
      </c>
      <c r="AR33" t="n">
        <v>6</v>
      </c>
      <c r="AS33" t="n">
        <v>85</v>
      </c>
      <c r="AT33" t="n">
        <v>20</v>
      </c>
      <c r="AU33" t="n">
        <v>23.53</v>
      </c>
      <c r="AV33" t="n">
        <v>2</v>
      </c>
      <c r="AW33" t="n">
        <v>30</v>
      </c>
      <c r="AX33" t="n">
        <v>8</v>
      </c>
      <c r="AY33" t="n">
        <v>26.67</v>
      </c>
      <c r="AZ33" t="n">
        <v>79</v>
      </c>
      <c r="BA33" t="n">
        <v>46</v>
      </c>
      <c r="BB33" t="n">
        <v>58.23</v>
      </c>
      <c r="BC33" t="n">
        <v>9</v>
      </c>
      <c r="BD33" t="n">
        <v>1</v>
      </c>
      <c r="BE33" t="n">
        <v>11.11</v>
      </c>
      <c r="BF33" t="n">
        <v>3</v>
      </c>
      <c r="BG33" t="n">
        <v>1</v>
      </c>
      <c r="BH33" t="n">
        <v>33.33</v>
      </c>
      <c r="BI33" t="n">
        <v>51</v>
      </c>
      <c r="BJ33" t="n">
        <v>20</v>
      </c>
      <c r="BK33" t="n">
        <v>7</v>
      </c>
      <c r="BL33" t="n">
        <v>1</v>
      </c>
      <c r="BM33" t="n">
        <v>0</v>
      </c>
      <c r="BN33" t="n">
        <v>153</v>
      </c>
      <c r="BO33" t="n">
        <v>94</v>
      </c>
      <c r="BP33" t="n">
        <v>61.44</v>
      </c>
      <c r="BQ33" t="n">
        <v>40</v>
      </c>
      <c r="BR33" t="n">
        <v>18</v>
      </c>
      <c r="BS33" t="n">
        <v>45</v>
      </c>
      <c r="BT33" t="n">
        <v>24</v>
      </c>
      <c r="BU33" t="n">
        <v>13</v>
      </c>
      <c r="BV33" t="n">
        <v>54.17</v>
      </c>
      <c r="BW33" t="n">
        <v>77</v>
      </c>
      <c r="BX33" t="n">
        <v>24</v>
      </c>
      <c r="BY33" t="n">
        <v>31.17</v>
      </c>
      <c r="BZ33" t="n">
        <v>24</v>
      </c>
      <c r="CA33" t="n">
        <v>12</v>
      </c>
      <c r="CB33" t="n">
        <v>50</v>
      </c>
      <c r="CC33" t="n">
        <v>13.46</v>
      </c>
    </row>
    <row r="34" ht="12" customHeight="1" s="2">
      <c r="A34" t="inlineStr">
        <is>
          <t>2026-03-29</t>
        </is>
      </c>
      <c r="B34" t="inlineStr">
        <is>
          <t>Perth - Subiaco 2:0</t>
        </is>
      </c>
      <c r="C34" t="inlineStr">
        <is>
          <t>Australia. Western Australia NPL Women</t>
        </is>
      </c>
      <c r="D34" t="n">
        <v>96</v>
      </c>
      <c r="E34" t="inlineStr">
        <is>
          <t>Perth</t>
        </is>
      </c>
      <c r="F34" t="inlineStr">
        <is>
          <t>4-2-3-1 (100.0%)</t>
        </is>
      </c>
      <c r="G34" t="n">
        <v>2</v>
      </c>
      <c r="H34" t="n">
        <v>1.74</v>
      </c>
      <c r="I34" t="n">
        <v>18</v>
      </c>
      <c r="J34" t="n">
        <v>8</v>
      </c>
      <c r="K34" t="n">
        <v>44.44</v>
      </c>
      <c r="L34" t="n">
        <v>429</v>
      </c>
      <c r="M34" t="n">
        <v>308</v>
      </c>
      <c r="N34" t="n">
        <v>71.79000000000001</v>
      </c>
      <c r="O34" t="n">
        <v>50.98</v>
      </c>
      <c r="P34" t="n">
        <v>167</v>
      </c>
      <c r="Q34" t="n">
        <v>38</v>
      </c>
      <c r="R34" t="n">
        <v>51</v>
      </c>
      <c r="S34" t="n">
        <v>78</v>
      </c>
      <c r="T34" t="n">
        <v>106</v>
      </c>
      <c r="U34" t="n">
        <v>51</v>
      </c>
      <c r="V34" t="n">
        <v>44</v>
      </c>
      <c r="W34" t="n">
        <v>11</v>
      </c>
      <c r="X34" t="n">
        <v>170</v>
      </c>
      <c r="Y34" t="n">
        <v>81</v>
      </c>
      <c r="Z34" t="n">
        <v>47.65</v>
      </c>
      <c r="AA34" t="n">
        <v>9</v>
      </c>
      <c r="AB34" t="n">
        <v>4</v>
      </c>
      <c r="AC34" t="n">
        <v>44.44</v>
      </c>
      <c r="AD34" t="n">
        <v>41</v>
      </c>
      <c r="AE34" t="n">
        <v>15</v>
      </c>
      <c r="AF34" t="n">
        <v>36.59</v>
      </c>
      <c r="AG34" t="n">
        <v>19</v>
      </c>
      <c r="AH34" t="n">
        <v>2</v>
      </c>
      <c r="AI34" t="n">
        <v>10.53</v>
      </c>
      <c r="AJ34" t="n">
        <v>1</v>
      </c>
      <c r="AK34" t="n">
        <v>0</v>
      </c>
      <c r="AL34" t="n">
        <v>0</v>
      </c>
      <c r="AM34" t="n">
        <v>11</v>
      </c>
      <c r="AN34" t="n">
        <v>1</v>
      </c>
      <c r="AO34" t="n">
        <v>9.09</v>
      </c>
      <c r="AP34" t="n">
        <v>2</v>
      </c>
      <c r="AQ34" t="n">
        <v>8</v>
      </c>
      <c r="AR34" t="n">
        <v>12</v>
      </c>
      <c r="AS34" t="n">
        <v>67</v>
      </c>
      <c r="AT34" t="n">
        <v>16</v>
      </c>
      <c r="AU34" t="n">
        <v>23.88</v>
      </c>
      <c r="AV34" t="n">
        <v>0</v>
      </c>
      <c r="AW34" t="n">
        <v>15</v>
      </c>
      <c r="AX34" t="n">
        <v>3</v>
      </c>
      <c r="AY34" t="n">
        <v>20</v>
      </c>
      <c r="AZ34" t="n">
        <v>75</v>
      </c>
      <c r="BA34" t="n">
        <v>55</v>
      </c>
      <c r="BB34" t="n">
        <v>73.33</v>
      </c>
      <c r="BC34" t="n">
        <v>10</v>
      </c>
      <c r="BD34" t="n">
        <v>4</v>
      </c>
      <c r="BE34" t="n">
        <v>40</v>
      </c>
      <c r="BF34" t="n">
        <v>1</v>
      </c>
      <c r="BG34" t="n">
        <v>1</v>
      </c>
      <c r="BH34" t="n">
        <v>100</v>
      </c>
      <c r="BI34" t="n">
        <v>69</v>
      </c>
      <c r="BJ34" t="n">
        <v>10</v>
      </c>
      <c r="BK34" t="n">
        <v>5</v>
      </c>
      <c r="BL34" t="n">
        <v>0</v>
      </c>
      <c r="BM34" t="n">
        <v>0</v>
      </c>
      <c r="BN34" t="n">
        <v>184</v>
      </c>
      <c r="BO34" t="n">
        <v>111</v>
      </c>
      <c r="BP34" t="n">
        <v>60.33</v>
      </c>
      <c r="BQ34" t="n">
        <v>44</v>
      </c>
      <c r="BR34" t="n">
        <v>22</v>
      </c>
      <c r="BS34" t="n">
        <v>50</v>
      </c>
      <c r="BT34" t="n">
        <v>78</v>
      </c>
      <c r="BU34" t="n">
        <v>37</v>
      </c>
      <c r="BV34" t="n">
        <v>47.44</v>
      </c>
      <c r="BW34" t="n">
        <v>110</v>
      </c>
      <c r="BX34" t="n">
        <v>65</v>
      </c>
      <c r="BY34" t="n">
        <v>59.09</v>
      </c>
      <c r="BZ34" t="n">
        <v>39</v>
      </c>
      <c r="CA34" t="n">
        <v>30</v>
      </c>
      <c r="CB34" t="n">
        <v>76.92</v>
      </c>
      <c r="CC34" t="n">
        <v>5.18</v>
      </c>
    </row>
    <row r="35" ht="12" customHeight="1" s="2">
      <c r="E35" t="inlineStr">
        <is>
          <t>Subiaco</t>
        </is>
      </c>
      <c r="F35" t="inlineStr">
        <is>
          <t>4-4-2 (49.52%)</t>
        </is>
      </c>
      <c r="G35" t="n">
        <v>0</v>
      </c>
      <c r="H35" t="n">
        <v>1.31</v>
      </c>
      <c r="I35" t="n">
        <v>15</v>
      </c>
      <c r="J35" t="n">
        <v>3</v>
      </c>
      <c r="K35" t="n">
        <v>20</v>
      </c>
      <c r="L35" t="n">
        <v>382</v>
      </c>
      <c r="M35" t="n">
        <v>260</v>
      </c>
      <c r="N35" t="n">
        <v>68.06</v>
      </c>
      <c r="O35" t="n">
        <v>49.02</v>
      </c>
      <c r="P35" t="n">
        <v>154</v>
      </c>
      <c r="Q35" t="n">
        <v>21</v>
      </c>
      <c r="R35" t="n">
        <v>68</v>
      </c>
      <c r="S35" t="n">
        <v>65</v>
      </c>
      <c r="T35" t="n">
        <v>94</v>
      </c>
      <c r="U35" t="n">
        <v>46</v>
      </c>
      <c r="V35" t="n">
        <v>26</v>
      </c>
      <c r="W35" t="n">
        <v>22</v>
      </c>
      <c r="X35" t="n">
        <v>170</v>
      </c>
      <c r="Y35" t="n">
        <v>88</v>
      </c>
      <c r="Z35" t="n">
        <v>51.76</v>
      </c>
      <c r="AA35" t="n">
        <v>8</v>
      </c>
      <c r="AB35" t="n">
        <v>2</v>
      </c>
      <c r="AC35" t="n">
        <v>25</v>
      </c>
      <c r="AD35" t="n">
        <v>33</v>
      </c>
      <c r="AE35" t="n">
        <v>8</v>
      </c>
      <c r="AF35" t="n">
        <v>24.24</v>
      </c>
      <c r="AG35" t="n">
        <v>33</v>
      </c>
      <c r="AH35" t="n">
        <v>7</v>
      </c>
      <c r="AI35" t="n">
        <v>21.21</v>
      </c>
      <c r="AJ35" t="n">
        <v>7</v>
      </c>
      <c r="AK35" t="n">
        <v>4</v>
      </c>
      <c r="AL35" t="n">
        <v>57.14</v>
      </c>
      <c r="AM35" t="n">
        <v>15</v>
      </c>
      <c r="AN35" t="n">
        <v>5</v>
      </c>
      <c r="AO35" t="n">
        <v>33.33</v>
      </c>
      <c r="AP35" t="n">
        <v>5</v>
      </c>
      <c r="AQ35" t="n">
        <v>5</v>
      </c>
      <c r="AR35" t="n">
        <v>16</v>
      </c>
      <c r="AS35" t="n">
        <v>75</v>
      </c>
      <c r="AT35" t="n">
        <v>20</v>
      </c>
      <c r="AU35" t="n">
        <v>26.67</v>
      </c>
      <c r="AV35" t="n">
        <v>2</v>
      </c>
      <c r="AW35" t="n">
        <v>18</v>
      </c>
      <c r="AX35" t="n">
        <v>8</v>
      </c>
      <c r="AY35" t="n">
        <v>44.44</v>
      </c>
      <c r="AZ35" t="n">
        <v>67</v>
      </c>
      <c r="BA35" t="n">
        <v>51</v>
      </c>
      <c r="BB35" t="n">
        <v>76.12</v>
      </c>
      <c r="BC35" t="n">
        <v>10</v>
      </c>
      <c r="BD35" t="n">
        <v>6</v>
      </c>
      <c r="BE35" t="n">
        <v>60</v>
      </c>
      <c r="BF35" t="n">
        <v>5</v>
      </c>
      <c r="BG35" t="n">
        <v>3</v>
      </c>
      <c r="BH35" t="n">
        <v>60</v>
      </c>
      <c r="BI35" t="n">
        <v>50</v>
      </c>
      <c r="BJ35" t="n">
        <v>18</v>
      </c>
      <c r="BK35" t="n">
        <v>4</v>
      </c>
      <c r="BL35" t="n">
        <v>1</v>
      </c>
      <c r="BM35" t="n">
        <v>0</v>
      </c>
      <c r="BN35" t="n">
        <v>170</v>
      </c>
      <c r="BO35" t="n">
        <v>102</v>
      </c>
      <c r="BP35" t="n">
        <v>60</v>
      </c>
      <c r="BQ35" t="n">
        <v>54</v>
      </c>
      <c r="BR35" t="n">
        <v>32</v>
      </c>
      <c r="BS35" t="n">
        <v>59.26</v>
      </c>
      <c r="BT35" t="n">
        <v>57</v>
      </c>
      <c r="BU35" t="n">
        <v>30</v>
      </c>
      <c r="BV35" t="n">
        <v>52.63</v>
      </c>
      <c r="BW35" t="n">
        <v>89</v>
      </c>
      <c r="BX35" t="n">
        <v>46</v>
      </c>
      <c r="BY35" t="n">
        <v>51.69</v>
      </c>
      <c r="BZ35" t="n">
        <v>33</v>
      </c>
      <c r="CA35" t="n">
        <v>28</v>
      </c>
      <c r="CB35" t="n">
        <v>84.84999999999999</v>
      </c>
      <c r="CC35" t="n">
        <v>10.47</v>
      </c>
    </row>
    <row r="36" ht="12" customHeight="1" s="2">
      <c r="A36" t="inlineStr">
        <is>
          <t>2026-03-20</t>
        </is>
      </c>
      <c r="B36" t="inlineStr">
        <is>
          <t>Perth - UWA Nedlands 6:0</t>
        </is>
      </c>
      <c r="C36" t="inlineStr">
        <is>
          <t>Australia. Western Australia NPL Women</t>
        </is>
      </c>
      <c r="D36" t="n">
        <v>95</v>
      </c>
      <c r="E36" t="inlineStr">
        <is>
          <t>Perth</t>
        </is>
      </c>
      <c r="F36" t="inlineStr">
        <is>
          <t>4-3-3 (100.0%)</t>
        </is>
      </c>
      <c r="G36" t="n">
        <v>6</v>
      </c>
      <c r="H36" t="n">
        <v>1.77</v>
      </c>
      <c r="I36" t="n">
        <v>20</v>
      </c>
      <c r="J36" t="n">
        <v>11</v>
      </c>
      <c r="K36" t="n">
        <v>55</v>
      </c>
      <c r="L36" t="n">
        <v>514</v>
      </c>
      <c r="M36" t="n">
        <v>411</v>
      </c>
      <c r="N36" t="n">
        <v>79.95999999999999</v>
      </c>
      <c r="O36" t="n">
        <v>62.41</v>
      </c>
      <c r="P36" t="n">
        <v>132</v>
      </c>
      <c r="Q36" t="n">
        <v>4</v>
      </c>
      <c r="R36" t="n">
        <v>27</v>
      </c>
      <c r="S36" t="n">
        <v>101</v>
      </c>
      <c r="T36" t="n">
        <v>95</v>
      </c>
      <c r="U36" t="n">
        <v>19</v>
      </c>
      <c r="V36" t="n">
        <v>44</v>
      </c>
      <c r="W36" t="n">
        <v>32</v>
      </c>
      <c r="X36" t="n">
        <v>155</v>
      </c>
      <c r="Y36" t="n">
        <v>78</v>
      </c>
      <c r="Z36" t="n">
        <v>50.32</v>
      </c>
      <c r="AA36" t="n">
        <v>13</v>
      </c>
      <c r="AB36" t="n">
        <v>6</v>
      </c>
      <c r="AC36" t="n">
        <v>46.15</v>
      </c>
      <c r="AD36" t="n">
        <v>67</v>
      </c>
      <c r="AE36" t="n">
        <v>17</v>
      </c>
      <c r="AF36" t="n">
        <v>25.37</v>
      </c>
      <c r="AG36" t="n">
        <v>13</v>
      </c>
      <c r="AH36" t="n">
        <v>3</v>
      </c>
      <c r="AI36" t="n">
        <v>23.08</v>
      </c>
      <c r="AJ36" t="n">
        <v>7</v>
      </c>
      <c r="AK36" t="n">
        <v>2</v>
      </c>
      <c r="AL36" t="n">
        <v>28.57</v>
      </c>
      <c r="AM36" t="n">
        <v>29</v>
      </c>
      <c r="AN36" t="n">
        <v>8</v>
      </c>
      <c r="AO36" t="n">
        <v>27.59</v>
      </c>
      <c r="AP36" t="n">
        <v>7</v>
      </c>
      <c r="AQ36" t="n">
        <v>5</v>
      </c>
      <c r="AR36" t="n">
        <v>22</v>
      </c>
      <c r="AS36" t="n">
        <v>70</v>
      </c>
      <c r="AT36" t="n">
        <v>27</v>
      </c>
      <c r="AU36" t="n">
        <v>38.57</v>
      </c>
      <c r="AV36" t="n">
        <v>0</v>
      </c>
      <c r="AW36" t="n">
        <v>4</v>
      </c>
      <c r="AX36" t="n">
        <v>2</v>
      </c>
      <c r="AY36" t="n">
        <v>50</v>
      </c>
      <c r="AZ36" t="n">
        <v>54</v>
      </c>
      <c r="BA36" t="n">
        <v>38</v>
      </c>
      <c r="BB36" t="n">
        <v>70.37</v>
      </c>
      <c r="BC36" t="n">
        <v>11</v>
      </c>
      <c r="BD36" t="n">
        <v>6</v>
      </c>
      <c r="BE36" t="n">
        <v>54.55</v>
      </c>
      <c r="BF36" t="n">
        <v>1</v>
      </c>
      <c r="BG36" t="n">
        <v>1</v>
      </c>
      <c r="BH36" t="n">
        <v>100</v>
      </c>
      <c r="BI36" t="n">
        <v>26</v>
      </c>
      <c r="BJ36" t="n">
        <v>4</v>
      </c>
      <c r="BK36" t="n">
        <v>6</v>
      </c>
      <c r="BL36" t="n">
        <v>1</v>
      </c>
      <c r="BM36" t="n">
        <v>0</v>
      </c>
      <c r="BN36" t="n">
        <v>180</v>
      </c>
      <c r="BO36" t="n">
        <v>136</v>
      </c>
      <c r="BP36" t="n">
        <v>75.56</v>
      </c>
      <c r="BQ36" t="n">
        <v>46</v>
      </c>
      <c r="BR36" t="n">
        <v>19</v>
      </c>
      <c r="BS36" t="n">
        <v>41.3</v>
      </c>
      <c r="BT36" t="n">
        <v>78</v>
      </c>
      <c r="BU36" t="n">
        <v>52</v>
      </c>
      <c r="BV36" t="n">
        <v>66.67</v>
      </c>
      <c r="BW36" t="n">
        <v>75</v>
      </c>
      <c r="BX36" t="n">
        <v>67</v>
      </c>
      <c r="BY36" t="n">
        <v>89.33</v>
      </c>
      <c r="BZ36" t="n">
        <v>32</v>
      </c>
      <c r="CA36" t="n">
        <v>29</v>
      </c>
      <c r="CB36" t="n">
        <v>90.63</v>
      </c>
      <c r="CC36" t="n">
        <v>8.74</v>
      </c>
    </row>
    <row r="37" ht="12" customHeight="1" s="2">
      <c r="E37" t="inlineStr">
        <is>
          <t>UWA Nedlands</t>
        </is>
      </c>
      <c r="F37" t="inlineStr">
        <is>
          <t>3-5-2 (100.0%)</t>
        </is>
      </c>
      <c r="G37" t="n">
        <v>0</v>
      </c>
      <c r="H37" t="n">
        <v>0.1</v>
      </c>
      <c r="I37" t="n">
        <v>4</v>
      </c>
      <c r="J37" t="n">
        <v>2</v>
      </c>
      <c r="K37" t="n">
        <v>50</v>
      </c>
      <c r="L37" t="n">
        <v>319</v>
      </c>
      <c r="M37" t="n">
        <v>229</v>
      </c>
      <c r="N37" t="n">
        <v>71.79000000000001</v>
      </c>
      <c r="O37" t="n">
        <v>37.59</v>
      </c>
      <c r="P37" t="n">
        <v>126</v>
      </c>
      <c r="Q37" t="n">
        <v>43</v>
      </c>
      <c r="R37" t="n">
        <v>62</v>
      </c>
      <c r="S37" t="n">
        <v>21</v>
      </c>
      <c r="T37" t="n">
        <v>80</v>
      </c>
      <c r="U37" t="n">
        <v>48</v>
      </c>
      <c r="V37" t="n">
        <v>31</v>
      </c>
      <c r="W37" t="n">
        <v>1</v>
      </c>
      <c r="X37" t="n">
        <v>155</v>
      </c>
      <c r="Y37" t="n">
        <v>74</v>
      </c>
      <c r="Z37" t="n">
        <v>47.74</v>
      </c>
      <c r="AA37" t="n">
        <v>4</v>
      </c>
      <c r="AB37" t="n">
        <v>2</v>
      </c>
      <c r="AC37" t="n">
        <v>50</v>
      </c>
      <c r="AD37" t="n">
        <v>6</v>
      </c>
      <c r="AE37" t="n">
        <v>2</v>
      </c>
      <c r="AF37" t="n">
        <v>33.33</v>
      </c>
      <c r="AG37" t="n">
        <v>23</v>
      </c>
      <c r="AH37" t="n">
        <v>1</v>
      </c>
      <c r="AI37" t="n">
        <v>4.35</v>
      </c>
      <c r="AJ37" t="n">
        <v>0</v>
      </c>
      <c r="AK37" t="n">
        <v>0</v>
      </c>
      <c r="AL37" t="n">
        <v>0</v>
      </c>
      <c r="AM37" t="n">
        <v>2</v>
      </c>
      <c r="AN37" t="n">
        <v>0</v>
      </c>
      <c r="AO37" t="n">
        <v>0</v>
      </c>
      <c r="AP37" t="n">
        <v>0</v>
      </c>
      <c r="AQ37" t="n">
        <v>2</v>
      </c>
      <c r="AR37" t="n">
        <v>4</v>
      </c>
      <c r="AS37" t="n">
        <v>54</v>
      </c>
      <c r="AT37" t="n">
        <v>16</v>
      </c>
      <c r="AU37" t="n">
        <v>29.63</v>
      </c>
      <c r="AV37" t="n">
        <v>6</v>
      </c>
      <c r="AW37" t="n">
        <v>20</v>
      </c>
      <c r="AX37" t="n">
        <v>13</v>
      </c>
      <c r="AY37" t="n">
        <v>65</v>
      </c>
      <c r="AZ37" t="n">
        <v>70</v>
      </c>
      <c r="BA37" t="n">
        <v>43</v>
      </c>
      <c r="BB37" t="n">
        <v>61.43</v>
      </c>
      <c r="BC37" t="n">
        <v>11</v>
      </c>
      <c r="BD37" t="n">
        <v>4</v>
      </c>
      <c r="BE37" t="n">
        <v>36.36</v>
      </c>
      <c r="BF37" t="n">
        <v>1</v>
      </c>
      <c r="BG37" t="n">
        <v>1</v>
      </c>
      <c r="BH37" t="n">
        <v>100</v>
      </c>
      <c r="BI37" t="n">
        <v>52</v>
      </c>
      <c r="BJ37" t="n">
        <v>22</v>
      </c>
      <c r="BK37" t="n">
        <v>3</v>
      </c>
      <c r="BL37" t="n">
        <v>0</v>
      </c>
      <c r="BM37" t="n">
        <v>0</v>
      </c>
      <c r="BN37" t="n">
        <v>132</v>
      </c>
      <c r="BO37" t="n">
        <v>73</v>
      </c>
      <c r="BP37" t="n">
        <v>55.3</v>
      </c>
      <c r="BQ37" t="n">
        <v>56</v>
      </c>
      <c r="BR37" t="n">
        <v>27</v>
      </c>
      <c r="BS37" t="n">
        <v>48.21</v>
      </c>
      <c r="BT37" t="n">
        <v>25</v>
      </c>
      <c r="BU37" t="n">
        <v>13</v>
      </c>
      <c r="BV37" t="n">
        <v>52</v>
      </c>
      <c r="BW37" t="n">
        <v>70</v>
      </c>
      <c r="BX37" t="n">
        <v>20</v>
      </c>
      <c r="BY37" t="n">
        <v>28.57</v>
      </c>
      <c r="BZ37" t="n">
        <v>14</v>
      </c>
      <c r="CA37" t="n">
        <v>11</v>
      </c>
      <c r="CB37" t="n">
        <v>78.56999999999999</v>
      </c>
      <c r="CC37" t="n">
        <v>22.31</v>
      </c>
    </row>
    <row r="38" ht="12" customHeight="1" s="2"/>
    <row r="39" ht="12" customHeight="1" s="2"/>
    <row r="40" ht="12" customHeight="1" s="2"/>
    <row r="41" ht="12" customHeight="1" s="2"/>
    <row r="42" ht="12" customHeight="1" s="2"/>
    <row r="43" ht="12" customHeight="1" s="2"/>
    <row r="44" ht="12" customHeight="1" s="2"/>
    <row r="45" ht="12" customHeight="1" s="2"/>
    <row r="46" ht="12" customHeight="1" s="2"/>
    <row r="47" ht="12" customHeight="1" s="2"/>
    <row r="48" ht="12" customHeight="1" s="2"/>
    <row r="49" ht="12" customHeight="1" s="2"/>
    <row r="50" ht="12" customHeight="1" s="2"/>
  </sheetData>
  <mergeCells count="112">
    <mergeCell ref="C30:C31"/>
    <mergeCell ref="B43:B44"/>
    <mergeCell ref="B12:B13"/>
    <mergeCell ref="A16:A17"/>
    <mergeCell ref="C10:C11"/>
    <mergeCell ref="C16:C17"/>
    <mergeCell ref="D36:D37"/>
    <mergeCell ref="B14:B15"/>
    <mergeCell ref="D45:D46"/>
    <mergeCell ref="D32:D33"/>
    <mergeCell ref="C41:C42"/>
    <mergeCell ref="AW1:AY1"/>
    <mergeCell ref="D47:D48"/>
    <mergeCell ref="D16:D17"/>
    <mergeCell ref="B28:B29"/>
    <mergeCell ref="B6:B7"/>
    <mergeCell ref="C43:C44"/>
    <mergeCell ref="A22:A23"/>
    <mergeCell ref="D18:D19"/>
    <mergeCell ref="BC1:BE1"/>
    <mergeCell ref="BW1:BY1"/>
    <mergeCell ref="D8:D9"/>
    <mergeCell ref="A20:A21"/>
    <mergeCell ref="AA1:AC1"/>
    <mergeCell ref="D10:D11"/>
    <mergeCell ref="D34:D35"/>
    <mergeCell ref="C6:C7"/>
    <mergeCell ref="B26:B27"/>
    <mergeCell ref="C14:C15"/>
    <mergeCell ref="T1:W1"/>
    <mergeCell ref="AD1:AF1"/>
    <mergeCell ref="D49:D50"/>
    <mergeCell ref="C4:C5"/>
    <mergeCell ref="A45:A46"/>
    <mergeCell ref="C45:C46"/>
    <mergeCell ref="AM1:AO1"/>
    <mergeCell ref="L1:N1"/>
    <mergeCell ref="C47:C48"/>
    <mergeCell ref="BN1:BP1"/>
    <mergeCell ref="A26:A27"/>
    <mergeCell ref="I1:K1"/>
    <mergeCell ref="BZ1:CB1"/>
    <mergeCell ref="D12:D13"/>
    <mergeCell ref="A8:A9"/>
    <mergeCell ref="C8:C9"/>
    <mergeCell ref="C32:C33"/>
    <mergeCell ref="A10:A11"/>
    <mergeCell ref="B30:B31"/>
    <mergeCell ref="B45:B46"/>
    <mergeCell ref="D39:D40"/>
    <mergeCell ref="D30:D31"/>
    <mergeCell ref="A43:A44"/>
    <mergeCell ref="B32:B33"/>
    <mergeCell ref="AG1:AI1"/>
    <mergeCell ref="C34:C35"/>
    <mergeCell ref="D26:D27"/>
    <mergeCell ref="AS1:AU1"/>
    <mergeCell ref="A39:A40"/>
    <mergeCell ref="B16:B17"/>
    <mergeCell ref="A49:A50"/>
    <mergeCell ref="C49:C50"/>
    <mergeCell ref="C18:C19"/>
    <mergeCell ref="B18:B19"/>
    <mergeCell ref="BQ1:BS1"/>
    <mergeCell ref="C20:C21"/>
    <mergeCell ref="B8:B9"/>
    <mergeCell ref="A41:A42"/>
    <mergeCell ref="A36:A37"/>
    <mergeCell ref="A6:A7"/>
    <mergeCell ref="C22:C23"/>
    <mergeCell ref="A12:A13"/>
    <mergeCell ref="C12:C13"/>
    <mergeCell ref="D41:D42"/>
    <mergeCell ref="B34:B35"/>
    <mergeCell ref="C36:C37"/>
    <mergeCell ref="D28:D29"/>
    <mergeCell ref="A14:A15"/>
    <mergeCell ref="P1:S1"/>
    <mergeCell ref="X1:Z1"/>
    <mergeCell ref="B49:B50"/>
    <mergeCell ref="D43:D44"/>
    <mergeCell ref="AJ1:AL1"/>
    <mergeCell ref="BT1:BV1"/>
    <mergeCell ref="B36:B37"/>
    <mergeCell ref="A4:A5"/>
    <mergeCell ref="BF1:BH1"/>
    <mergeCell ref="B20:B21"/>
    <mergeCell ref="C39:C40"/>
    <mergeCell ref="D20:D21"/>
    <mergeCell ref="D14:D15"/>
    <mergeCell ref="B4:B5"/>
    <mergeCell ref="B22:B23"/>
    <mergeCell ref="D6:D7"/>
    <mergeCell ref="B47:B48"/>
    <mergeCell ref="A24:A25"/>
    <mergeCell ref="C26:C27"/>
    <mergeCell ref="B39:B40"/>
    <mergeCell ref="D4:D5"/>
    <mergeCell ref="B10:B11"/>
    <mergeCell ref="A18:A19"/>
    <mergeCell ref="B24:B25"/>
    <mergeCell ref="D24:D25"/>
    <mergeCell ref="A32:A33"/>
    <mergeCell ref="A47:A48"/>
    <mergeCell ref="A34:A35"/>
    <mergeCell ref="AZ1:BB1"/>
    <mergeCell ref="A28:A29"/>
    <mergeCell ref="C28:C29"/>
    <mergeCell ref="B41:B42"/>
    <mergeCell ref="C24:C25"/>
    <mergeCell ref="A30:A31"/>
    <mergeCell ref="D22:D23"/>
  </mergeCells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35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Round</t>
        </is>
      </c>
      <c r="B1" s="3" t="inlineStr">
        <is>
          <t>Date</t>
        </is>
      </c>
      <c r="C1" s="3" t="inlineStr">
        <is>
          <t>Match</t>
        </is>
      </c>
      <c r="D1" s="3" t="inlineStr">
        <is>
          <t>Competition</t>
        </is>
      </c>
      <c r="E1" s="3" t="inlineStr">
        <is>
          <t>Duration</t>
        </is>
      </c>
      <c r="F1" s="3" t="inlineStr">
        <is>
          <t>Team</t>
        </is>
      </c>
      <c r="G1" s="3" t="inlineStr">
        <is>
          <t>Scheme</t>
        </is>
      </c>
      <c r="H1" s="3" t="inlineStr">
        <is>
          <t>Goals</t>
        </is>
      </c>
      <c r="I1" s="3" t="inlineStr">
        <is>
          <t>xG</t>
        </is>
      </c>
      <c r="J1" s="3" t="inlineStr">
        <is>
          <t>Shots</t>
        </is>
      </c>
      <c r="K1" s="3" t="inlineStr">
        <is>
          <t>Shots_on_target</t>
        </is>
      </c>
      <c r="L1" s="3" t="inlineStr">
        <is>
          <t>Shots_acc_pct</t>
        </is>
      </c>
      <c r="M1" s="3" t="inlineStr">
        <is>
          <t>Passes</t>
        </is>
      </c>
      <c r="N1" s="3" t="inlineStr">
        <is>
          <t>Passes_accurate</t>
        </is>
      </c>
      <c r="O1" s="3" t="inlineStr">
        <is>
          <t>Passes_acc_pct</t>
        </is>
      </c>
      <c r="P1" s="3" t="inlineStr">
        <is>
          <t>Possession_pct</t>
        </is>
      </c>
      <c r="Q1" s="3" t="inlineStr">
        <is>
          <t>Losses_total</t>
        </is>
      </c>
      <c r="R1" s="3" t="inlineStr">
        <is>
          <t>Losses_low</t>
        </is>
      </c>
      <c r="S1" s="3" t="inlineStr">
        <is>
          <t>Losses_medium</t>
        </is>
      </c>
      <c r="T1" s="3" t="inlineStr">
        <is>
          <t>Losses_high</t>
        </is>
      </c>
      <c r="U1" s="3" t="inlineStr">
        <is>
          <t>Recoveries_total</t>
        </is>
      </c>
      <c r="V1" s="3" t="inlineStr">
        <is>
          <t>Recoveries_low</t>
        </is>
      </c>
      <c r="W1" s="3" t="inlineStr">
        <is>
          <t>Recoveries_medium</t>
        </is>
      </c>
      <c r="X1" s="3" t="inlineStr">
        <is>
          <t>Recoveries_high</t>
        </is>
      </c>
      <c r="Y1" s="3" t="inlineStr">
        <is>
          <t>Duels_total</t>
        </is>
      </c>
      <c r="Z1" s="3" t="inlineStr">
        <is>
          <t>Duels_won</t>
        </is>
      </c>
      <c r="AA1" s="3" t="inlineStr">
        <is>
          <t>Duels_won_pct</t>
        </is>
      </c>
    </row>
    <row r="2">
      <c r="A2" t="n">
        <v>1</v>
      </c>
      <c r="B2" t="inlineStr">
        <is>
          <t>2026-03-20</t>
        </is>
      </c>
      <c r="C2" t="inlineStr">
        <is>
          <t>Perth - UWA Nedlands 6:0</t>
        </is>
      </c>
      <c r="D2" t="inlineStr">
        <is>
          <t>Australia. Western Australia NPL Women</t>
        </is>
      </c>
      <c r="E2" t="n">
        <v>95</v>
      </c>
      <c r="F2" t="inlineStr">
        <is>
          <t>Perth</t>
        </is>
      </c>
      <c r="G2" t="inlineStr">
        <is>
          <t>4-3-3 (100.0%)</t>
        </is>
      </c>
      <c r="H2" t="n">
        <v>6</v>
      </c>
      <c r="I2" t="n">
        <v>1.77</v>
      </c>
      <c r="J2" t="n">
        <v>20</v>
      </c>
      <c r="K2" t="n">
        <v>11</v>
      </c>
      <c r="L2" t="n">
        <v>55</v>
      </c>
      <c r="M2" t="n">
        <v>514</v>
      </c>
      <c r="N2" t="n">
        <v>411</v>
      </c>
      <c r="O2" t="n">
        <v>79.95999999999999</v>
      </c>
      <c r="P2" t="n">
        <v>62.41</v>
      </c>
      <c r="Q2" t="n">
        <v>132</v>
      </c>
      <c r="R2" t="n">
        <v>4</v>
      </c>
      <c r="S2" t="n">
        <v>27</v>
      </c>
      <c r="T2" t="n">
        <v>101</v>
      </c>
      <c r="U2" t="n">
        <v>95</v>
      </c>
      <c r="V2" t="n">
        <v>19</v>
      </c>
      <c r="W2" t="n">
        <v>44</v>
      </c>
      <c r="X2" t="n">
        <v>32</v>
      </c>
      <c r="Y2" t="n">
        <v>155</v>
      </c>
      <c r="Z2" t="n">
        <v>78</v>
      </c>
      <c r="AA2" t="n">
        <v>50.32</v>
      </c>
    </row>
    <row r="3">
      <c r="A3" t="n">
        <v>2</v>
      </c>
      <c r="B3" t="inlineStr">
        <is>
          <t>2026-03-20</t>
        </is>
      </c>
      <c r="C3" t="inlineStr">
        <is>
          <t>Perth - UWA Nedlands 6:0</t>
        </is>
      </c>
      <c r="D3" t="inlineStr">
        <is>
          <t>Australia. Western Australia NPL Women</t>
        </is>
      </c>
      <c r="E3" t="n">
        <v>95</v>
      </c>
      <c r="F3" t="inlineStr">
        <is>
          <t>UWA Nedlands</t>
        </is>
      </c>
      <c r="G3" t="inlineStr">
        <is>
          <t>3-5-2 (100.0%)</t>
        </is>
      </c>
      <c r="H3" t="n">
        <v>0</v>
      </c>
      <c r="I3" t="n">
        <v>0.1</v>
      </c>
      <c r="J3" t="n">
        <v>4</v>
      </c>
      <c r="K3" t="n">
        <v>2</v>
      </c>
      <c r="L3" t="n">
        <v>50</v>
      </c>
      <c r="M3" t="n">
        <v>319</v>
      </c>
      <c r="N3" t="n">
        <v>229</v>
      </c>
      <c r="O3" t="n">
        <v>71.79000000000001</v>
      </c>
      <c r="P3" t="n">
        <v>37.59</v>
      </c>
      <c r="Q3" t="n">
        <v>126</v>
      </c>
      <c r="R3" t="n">
        <v>43</v>
      </c>
      <c r="S3" t="n">
        <v>62</v>
      </c>
      <c r="T3" t="n">
        <v>21</v>
      </c>
      <c r="U3" t="n">
        <v>80</v>
      </c>
      <c r="V3" t="n">
        <v>48</v>
      </c>
      <c r="W3" t="n">
        <v>31</v>
      </c>
      <c r="X3" t="n">
        <v>1</v>
      </c>
      <c r="Y3" t="n">
        <v>155</v>
      </c>
      <c r="Z3" t="n">
        <v>74</v>
      </c>
      <c r="AA3" t="n">
        <v>47.74</v>
      </c>
    </row>
    <row r="4">
      <c r="A4" t="n">
        <v>3</v>
      </c>
      <c r="B4" t="inlineStr">
        <is>
          <t>2026-03-29</t>
        </is>
      </c>
      <c r="C4" t="inlineStr">
        <is>
          <t>Perth - Subiaco 2:0</t>
        </is>
      </c>
      <c r="D4" t="inlineStr">
        <is>
          <t>Australia. Western Australia NPL Women</t>
        </is>
      </c>
      <c r="E4" t="n">
        <v>96</v>
      </c>
      <c r="F4" t="inlineStr">
        <is>
          <t>Perth</t>
        </is>
      </c>
      <c r="G4" t="inlineStr">
        <is>
          <t>4-2-3-1 (100.0%)</t>
        </is>
      </c>
      <c r="H4" t="n">
        <v>2</v>
      </c>
      <c r="I4" t="n">
        <v>1.74</v>
      </c>
      <c r="J4" t="n">
        <v>18</v>
      </c>
      <c r="K4" t="n">
        <v>8</v>
      </c>
      <c r="L4" t="n">
        <v>44.44</v>
      </c>
      <c r="M4" t="n">
        <v>429</v>
      </c>
      <c r="N4" t="n">
        <v>308</v>
      </c>
      <c r="O4" t="n">
        <v>71.79000000000001</v>
      </c>
      <c r="P4" t="n">
        <v>50.98</v>
      </c>
      <c r="Q4" t="n">
        <v>167</v>
      </c>
      <c r="R4" t="n">
        <v>38</v>
      </c>
      <c r="S4" t="n">
        <v>51</v>
      </c>
      <c r="T4" t="n">
        <v>78</v>
      </c>
      <c r="U4" t="n">
        <v>106</v>
      </c>
      <c r="V4" t="n">
        <v>51</v>
      </c>
      <c r="W4" t="n">
        <v>44</v>
      </c>
      <c r="X4" t="n">
        <v>11</v>
      </c>
      <c r="Y4" t="n">
        <v>170</v>
      </c>
      <c r="Z4" t="n">
        <v>81</v>
      </c>
      <c r="AA4" t="n">
        <v>47.65</v>
      </c>
    </row>
    <row r="5">
      <c r="A5" t="n">
        <v>4</v>
      </c>
      <c r="B5" t="inlineStr">
        <is>
          <t>2026-03-29</t>
        </is>
      </c>
      <c r="C5" t="inlineStr">
        <is>
          <t>Perth - Subiaco 2:0</t>
        </is>
      </c>
      <c r="D5" t="inlineStr">
        <is>
          <t>Australia. Western Australia NPL Women</t>
        </is>
      </c>
      <c r="E5" t="n">
        <v>96</v>
      </c>
      <c r="F5" t="inlineStr">
        <is>
          <t>Subiaco</t>
        </is>
      </c>
      <c r="G5" t="inlineStr">
        <is>
          <t>4-4-2 (49.52%)</t>
        </is>
      </c>
      <c r="H5" t="n">
        <v>0</v>
      </c>
      <c r="I5" t="n">
        <v>1.31</v>
      </c>
      <c r="J5" t="n">
        <v>15</v>
      </c>
      <c r="K5" t="n">
        <v>3</v>
      </c>
      <c r="L5" t="n">
        <v>20</v>
      </c>
      <c r="M5" t="n">
        <v>382</v>
      </c>
      <c r="N5" t="n">
        <v>260</v>
      </c>
      <c r="O5" t="n">
        <v>68.06</v>
      </c>
      <c r="P5" t="n">
        <v>49.02</v>
      </c>
      <c r="Q5" t="n">
        <v>154</v>
      </c>
      <c r="R5" t="n">
        <v>21</v>
      </c>
      <c r="S5" t="n">
        <v>68</v>
      </c>
      <c r="T5" t="n">
        <v>65</v>
      </c>
      <c r="U5" t="n">
        <v>94</v>
      </c>
      <c r="V5" t="n">
        <v>46</v>
      </c>
      <c r="W5" t="n">
        <v>26</v>
      </c>
      <c r="X5" t="n">
        <v>22</v>
      </c>
      <c r="Y5" t="n">
        <v>170</v>
      </c>
      <c r="Z5" t="n">
        <v>88</v>
      </c>
      <c r="AA5" t="n">
        <v>51.76</v>
      </c>
    </row>
    <row r="6">
      <c r="A6" t="n">
        <v>5</v>
      </c>
      <c r="B6" t="inlineStr">
        <is>
          <t>2026-04-06</t>
        </is>
      </c>
      <c r="C6" t="inlineStr">
        <is>
          <t>Sorrento - Perth 0:2</t>
        </is>
      </c>
      <c r="D6" t="inlineStr">
        <is>
          <t>Australia. Western Australia NPL Women</t>
        </is>
      </c>
      <c r="E6" t="n">
        <v>94</v>
      </c>
      <c r="F6" t="inlineStr">
        <is>
          <t>Perth</t>
        </is>
      </c>
      <c r="G6" t="inlineStr">
        <is>
          <t>4-1-4-1 (100.0%)</t>
        </is>
      </c>
      <c r="H6" t="n">
        <v>2</v>
      </c>
      <c r="I6" t="n">
        <v>1.84</v>
      </c>
      <c r="J6" t="n">
        <v>30</v>
      </c>
      <c r="K6" t="n">
        <v>8</v>
      </c>
      <c r="L6" t="n">
        <v>26.67</v>
      </c>
      <c r="M6" t="n">
        <v>472</v>
      </c>
      <c r="N6" t="n">
        <v>372</v>
      </c>
      <c r="O6" t="n">
        <v>78.81</v>
      </c>
      <c r="P6" t="n">
        <v>59.94</v>
      </c>
      <c r="Q6" t="n">
        <v>112</v>
      </c>
      <c r="R6" t="n">
        <v>10</v>
      </c>
      <c r="S6" t="n">
        <v>35</v>
      </c>
      <c r="T6" t="n">
        <v>67</v>
      </c>
      <c r="U6" t="n">
        <v>100</v>
      </c>
      <c r="V6" t="n">
        <v>19</v>
      </c>
      <c r="W6" t="n">
        <v>54</v>
      </c>
      <c r="X6" t="n">
        <v>27</v>
      </c>
      <c r="Y6" t="n">
        <v>198</v>
      </c>
      <c r="Z6" t="n">
        <v>121</v>
      </c>
      <c r="AA6" t="n">
        <v>61.11</v>
      </c>
    </row>
    <row r="7">
      <c r="A7" t="n">
        <v>6</v>
      </c>
      <c r="B7" t="inlineStr">
        <is>
          <t>2026-04-06</t>
        </is>
      </c>
      <c r="C7" t="inlineStr">
        <is>
          <t>Sorrento - Perth 0:2</t>
        </is>
      </c>
      <c r="D7" t="inlineStr">
        <is>
          <t>Australia. Western Australia NPL Women</t>
        </is>
      </c>
      <c r="E7" t="n">
        <v>94</v>
      </c>
      <c r="F7" t="inlineStr">
        <is>
          <t>Sorrento</t>
        </is>
      </c>
      <c r="G7" t="inlineStr">
        <is>
          <t>4-5-1 (100.0%)</t>
        </is>
      </c>
      <c r="H7" t="n">
        <v>0</v>
      </c>
      <c r="I7" t="n">
        <v>0.4</v>
      </c>
      <c r="J7" t="n">
        <v>7</v>
      </c>
      <c r="K7" t="n">
        <v>2</v>
      </c>
      <c r="L7" t="n">
        <v>28.57</v>
      </c>
      <c r="M7" t="n">
        <v>316</v>
      </c>
      <c r="N7" t="n">
        <v>221</v>
      </c>
      <c r="O7" t="n">
        <v>69.94</v>
      </c>
      <c r="P7" t="n">
        <v>40.06</v>
      </c>
      <c r="Q7" t="n">
        <v>134</v>
      </c>
      <c r="R7" t="n">
        <v>38</v>
      </c>
      <c r="S7" t="n">
        <v>68</v>
      </c>
      <c r="T7" t="n">
        <v>28</v>
      </c>
      <c r="U7" t="n">
        <v>72</v>
      </c>
      <c r="V7" t="n">
        <v>44</v>
      </c>
      <c r="W7" t="n">
        <v>20</v>
      </c>
      <c r="X7" t="n">
        <v>8</v>
      </c>
      <c r="Y7" t="n">
        <v>198</v>
      </c>
      <c r="Z7" t="n">
        <v>74</v>
      </c>
      <c r="AA7" t="n">
        <v>37.37</v>
      </c>
    </row>
    <row r="8">
      <c r="A8" t="n">
        <v>7</v>
      </c>
      <c r="B8" t="inlineStr">
        <is>
          <t>2026-04-10</t>
        </is>
      </c>
      <c r="C8" t="inlineStr">
        <is>
          <t>Perth - Fremantle City 0:0</t>
        </is>
      </c>
      <c r="D8" t="inlineStr">
        <is>
          <t>Australia. Western Australia NPL Women</t>
        </is>
      </c>
      <c r="E8" t="n">
        <v>95</v>
      </c>
      <c r="F8" t="inlineStr">
        <is>
          <t>Perth</t>
        </is>
      </c>
      <c r="G8" t="inlineStr">
        <is>
          <t>4-2-3-1 (48.4%)</t>
        </is>
      </c>
      <c r="H8" t="n">
        <v>0</v>
      </c>
      <c r="I8" t="n">
        <v>0.53</v>
      </c>
      <c r="J8" t="n">
        <v>10</v>
      </c>
      <c r="K8" t="n">
        <v>3</v>
      </c>
      <c r="L8" t="n">
        <v>30</v>
      </c>
      <c r="M8" t="n">
        <v>516</v>
      </c>
      <c r="N8" t="n">
        <v>416</v>
      </c>
      <c r="O8" t="n">
        <v>80.62</v>
      </c>
      <c r="P8" t="n">
        <v>51.92</v>
      </c>
      <c r="Q8" t="n">
        <v>128</v>
      </c>
      <c r="R8" t="n">
        <v>18</v>
      </c>
      <c r="S8" t="n">
        <v>53</v>
      </c>
      <c r="T8" t="n">
        <v>57</v>
      </c>
      <c r="U8" t="n">
        <v>97</v>
      </c>
      <c r="V8" t="n">
        <v>54</v>
      </c>
      <c r="W8" t="n">
        <v>32</v>
      </c>
      <c r="X8" t="n">
        <v>11</v>
      </c>
      <c r="Y8" t="n">
        <v>173</v>
      </c>
      <c r="Z8" t="n">
        <v>87</v>
      </c>
      <c r="AA8" t="n">
        <v>50.29</v>
      </c>
    </row>
    <row r="9">
      <c r="A9" t="n">
        <v>8</v>
      </c>
      <c r="B9" t="inlineStr">
        <is>
          <t>2026-04-10</t>
        </is>
      </c>
      <c r="C9" t="inlineStr">
        <is>
          <t>Perth - Fremantle City 0:0</t>
        </is>
      </c>
      <c r="D9" t="inlineStr">
        <is>
          <t>Australia. Western Australia NPL Women</t>
        </is>
      </c>
      <c r="E9" t="n">
        <v>95</v>
      </c>
      <c r="F9" t="inlineStr">
        <is>
          <t>Fremantle City</t>
        </is>
      </c>
      <c r="G9" t="inlineStr">
        <is>
          <t>4-2-3-1 (100.0%)</t>
        </is>
      </c>
      <c r="H9" t="n">
        <v>0</v>
      </c>
      <c r="I9" t="n">
        <v>0.39</v>
      </c>
      <c r="J9" t="n">
        <v>8</v>
      </c>
      <c r="K9" t="n">
        <v>0</v>
      </c>
      <c r="L9" t="n">
        <v>0</v>
      </c>
      <c r="M9" t="n">
        <v>417</v>
      </c>
      <c r="N9" t="n">
        <v>314</v>
      </c>
      <c r="O9" t="n">
        <v>75.3</v>
      </c>
      <c r="P9" t="n">
        <v>48.08</v>
      </c>
      <c r="Q9" t="n">
        <v>144</v>
      </c>
      <c r="R9" t="n">
        <v>26</v>
      </c>
      <c r="S9" t="n">
        <v>35</v>
      </c>
      <c r="T9" t="n">
        <v>83</v>
      </c>
      <c r="U9" t="n">
        <v>79</v>
      </c>
      <c r="V9" t="n">
        <v>36</v>
      </c>
      <c r="W9" t="n">
        <v>38</v>
      </c>
      <c r="X9" t="n">
        <v>5</v>
      </c>
      <c r="Y9" t="n">
        <v>173</v>
      </c>
      <c r="Z9" t="n">
        <v>81</v>
      </c>
      <c r="AA9" t="n">
        <v>46.82</v>
      </c>
    </row>
    <row r="10">
      <c r="A10" t="n">
        <v>9</v>
      </c>
      <c r="B10" t="inlineStr">
        <is>
          <t>2026-04-17</t>
        </is>
      </c>
      <c r="C10" t="inlineStr">
        <is>
          <t>Perth - Balcatta 0:0</t>
        </is>
      </c>
      <c r="D10" t="inlineStr">
        <is>
          <t>Australia. Western Australia NPL Women</t>
        </is>
      </c>
      <c r="E10" t="n">
        <v>99</v>
      </c>
      <c r="F10" t="inlineStr">
        <is>
          <t>Perth</t>
        </is>
      </c>
      <c r="G10" t="inlineStr">
        <is>
          <t>4-1-4-1 (100.0%)</t>
        </is>
      </c>
      <c r="H10" t="n">
        <v>0</v>
      </c>
      <c r="I10" t="n">
        <v>1.24</v>
      </c>
      <c r="J10" t="n">
        <v>13</v>
      </c>
      <c r="K10" t="n">
        <v>4</v>
      </c>
      <c r="L10" t="n">
        <v>30.77</v>
      </c>
      <c r="M10" t="n">
        <v>391</v>
      </c>
      <c r="N10" t="n">
        <v>281</v>
      </c>
      <c r="O10" t="n">
        <v>71.87</v>
      </c>
      <c r="P10" t="n">
        <v>39.92</v>
      </c>
      <c r="Q10" t="n">
        <v>137</v>
      </c>
      <c r="R10" t="n">
        <v>17</v>
      </c>
      <c r="S10" t="n">
        <v>60</v>
      </c>
      <c r="T10" t="n">
        <v>60</v>
      </c>
      <c r="U10" t="n">
        <v>115</v>
      </c>
      <c r="V10" t="n">
        <v>55</v>
      </c>
      <c r="W10" t="n">
        <v>37</v>
      </c>
      <c r="X10" t="n">
        <v>23</v>
      </c>
      <c r="Y10" t="n">
        <v>200</v>
      </c>
      <c r="Z10" t="n">
        <v>98</v>
      </c>
      <c r="AA10" t="n">
        <v>49</v>
      </c>
    </row>
    <row r="11">
      <c r="A11" t="n">
        <v>10</v>
      </c>
      <c r="B11" t="inlineStr">
        <is>
          <t>2026-04-17</t>
        </is>
      </c>
      <c r="C11" t="inlineStr">
        <is>
          <t>Perth - Balcatta 0:0</t>
        </is>
      </c>
      <c r="D11" t="inlineStr">
        <is>
          <t>Australia. Western Australia NPL Women</t>
        </is>
      </c>
      <c r="E11" t="n">
        <v>99</v>
      </c>
      <c r="F11" t="inlineStr">
        <is>
          <t>Balcatta</t>
        </is>
      </c>
      <c r="G11" t="inlineStr">
        <is>
          <t>4-4-1-1 (100.0%)</t>
        </is>
      </c>
      <c r="H11" t="n">
        <v>0</v>
      </c>
      <c r="I11" t="n">
        <v>0.73</v>
      </c>
      <c r="J11" t="n">
        <v>10</v>
      </c>
      <c r="K11" t="n">
        <v>4</v>
      </c>
      <c r="L11" t="n">
        <v>40</v>
      </c>
      <c r="M11" t="n">
        <v>503</v>
      </c>
      <c r="N11" t="n">
        <v>371</v>
      </c>
      <c r="O11" t="n">
        <v>73.76000000000001</v>
      </c>
      <c r="P11" t="n">
        <v>60.08</v>
      </c>
      <c r="Q11" t="n">
        <v>162</v>
      </c>
      <c r="R11" t="n">
        <v>31</v>
      </c>
      <c r="S11" t="n">
        <v>52</v>
      </c>
      <c r="T11" t="n">
        <v>79</v>
      </c>
      <c r="U11" t="n">
        <v>104</v>
      </c>
      <c r="V11" t="n">
        <v>41</v>
      </c>
      <c r="W11" t="n">
        <v>53</v>
      </c>
      <c r="X11" t="n">
        <v>10</v>
      </c>
      <c r="Y11" t="n">
        <v>200</v>
      </c>
      <c r="Z11" t="n">
        <v>99</v>
      </c>
      <c r="AA11" t="n">
        <v>49.5</v>
      </c>
    </row>
    <row r="12">
      <c r="A12" t="n">
        <v>11</v>
      </c>
      <c r="B12" t="inlineStr">
        <is>
          <t>2026-04-26</t>
        </is>
      </c>
      <c r="C12" t="inlineStr">
        <is>
          <t>UWA Nedlands - Perth 1:3</t>
        </is>
      </c>
      <c r="D12" t="inlineStr">
        <is>
          <t>Australia. Western Australia NPL Women</t>
        </is>
      </c>
      <c r="E12" t="n">
        <v>93</v>
      </c>
      <c r="F12" t="inlineStr">
        <is>
          <t>Perth</t>
        </is>
      </c>
      <c r="G12" t="inlineStr">
        <is>
          <t>4-3-3 (100.0%)</t>
        </is>
      </c>
      <c r="H12" t="n">
        <v>3</v>
      </c>
      <c r="I12" t="n">
        <v>1.68</v>
      </c>
      <c r="J12" t="n">
        <v>17</v>
      </c>
      <c r="K12" t="n">
        <v>8</v>
      </c>
      <c r="L12" t="n">
        <v>47.06</v>
      </c>
      <c r="M12" t="n">
        <v>366</v>
      </c>
      <c r="N12" t="n">
        <v>250</v>
      </c>
      <c r="O12" t="n">
        <v>68.31</v>
      </c>
      <c r="P12" t="n">
        <v>52</v>
      </c>
      <c r="Q12" t="n">
        <v>113</v>
      </c>
      <c r="R12" t="n">
        <v>10</v>
      </c>
      <c r="S12" t="n">
        <v>41</v>
      </c>
      <c r="T12" t="n">
        <v>62</v>
      </c>
      <c r="U12" t="n">
        <v>92</v>
      </c>
      <c r="V12" t="n">
        <v>29</v>
      </c>
      <c r="W12" t="n">
        <v>39</v>
      </c>
      <c r="X12" t="n">
        <v>24</v>
      </c>
      <c r="Y12" t="n">
        <v>203</v>
      </c>
      <c r="Z12" t="n">
        <v>106</v>
      </c>
      <c r="AA12" t="n">
        <v>52.22</v>
      </c>
    </row>
    <row r="13">
      <c r="A13" t="n">
        <v>12</v>
      </c>
      <c r="B13" t="inlineStr">
        <is>
          <t>2026-04-26</t>
        </is>
      </c>
      <c r="C13" t="inlineStr">
        <is>
          <t>UWA Nedlands - Perth 1:3</t>
        </is>
      </c>
      <c r="D13" t="inlineStr">
        <is>
          <t>Australia. Western Australia NPL Women</t>
        </is>
      </c>
      <c r="E13" t="n">
        <v>93</v>
      </c>
      <c r="F13" t="inlineStr">
        <is>
          <t>UWA Nedlands</t>
        </is>
      </c>
      <c r="G13" t="inlineStr">
        <is>
          <t>4-2-3-1 (100.0%)</t>
        </is>
      </c>
      <c r="H13" t="n">
        <v>1</v>
      </c>
      <c r="I13" t="n">
        <v>0.23</v>
      </c>
      <c r="J13" t="n">
        <v>4</v>
      </c>
      <c r="K13" t="n">
        <v>4</v>
      </c>
      <c r="L13" t="n">
        <v>100</v>
      </c>
      <c r="M13" t="n">
        <v>281</v>
      </c>
      <c r="N13" t="n">
        <v>185</v>
      </c>
      <c r="O13" t="n">
        <v>65.84</v>
      </c>
      <c r="P13" t="n">
        <v>48</v>
      </c>
      <c r="Q13" t="n">
        <v>150</v>
      </c>
      <c r="R13" t="n">
        <v>33</v>
      </c>
      <c r="S13" t="n">
        <v>67</v>
      </c>
      <c r="T13" t="n">
        <v>50</v>
      </c>
      <c r="U13" t="n">
        <v>75</v>
      </c>
      <c r="V13" t="n">
        <v>40</v>
      </c>
      <c r="W13" t="n">
        <v>31</v>
      </c>
      <c r="X13" t="n">
        <v>4</v>
      </c>
      <c r="Y13" t="n">
        <v>203</v>
      </c>
      <c r="Z13" t="n">
        <v>93</v>
      </c>
      <c r="AA13" t="n">
        <v>45.81</v>
      </c>
    </row>
    <row r="14">
      <c r="A14" t="n">
        <v>13</v>
      </c>
      <c r="B14" t="inlineStr">
        <is>
          <t>2026-05-02</t>
        </is>
      </c>
      <c r="C14" t="inlineStr">
        <is>
          <t>Perth - Perth RedStar 1:1</t>
        </is>
      </c>
      <c r="D14" t="inlineStr">
        <is>
          <t>Australia. Western Australia NPL Women</t>
        </is>
      </c>
      <c r="E14" t="n">
        <v>96</v>
      </c>
      <c r="F14" t="inlineStr">
        <is>
          <t>Perth</t>
        </is>
      </c>
      <c r="G14" t="inlineStr">
        <is>
          <t>4-1-4-1 (100.0%)</t>
        </is>
      </c>
      <c r="H14" t="n">
        <v>1</v>
      </c>
      <c r="I14" t="n">
        <v>1.38</v>
      </c>
      <c r="J14" t="n">
        <v>11</v>
      </c>
      <c r="K14" t="n">
        <v>6</v>
      </c>
      <c r="L14" t="n">
        <v>54.55</v>
      </c>
      <c r="M14" t="n">
        <v>386</v>
      </c>
      <c r="N14" t="n">
        <v>280</v>
      </c>
      <c r="O14" t="n">
        <v>72.54000000000001</v>
      </c>
      <c r="P14" t="n">
        <v>45.86</v>
      </c>
      <c r="Q14" t="n">
        <v>155</v>
      </c>
      <c r="R14" t="n">
        <v>19</v>
      </c>
      <c r="S14" t="n">
        <v>60</v>
      </c>
      <c r="T14" t="n">
        <v>76</v>
      </c>
      <c r="U14" t="n">
        <v>120</v>
      </c>
      <c r="V14" t="n">
        <v>47</v>
      </c>
      <c r="W14" t="n">
        <v>63</v>
      </c>
      <c r="X14" t="n">
        <v>10</v>
      </c>
      <c r="Y14" t="n">
        <v>259</v>
      </c>
      <c r="Z14" t="n">
        <v>141</v>
      </c>
      <c r="AA14" t="n">
        <v>54.44</v>
      </c>
    </row>
    <row r="15">
      <c r="A15" t="n">
        <v>14</v>
      </c>
      <c r="B15" t="inlineStr">
        <is>
          <t>2026-05-02</t>
        </is>
      </c>
      <c r="C15" t="inlineStr">
        <is>
          <t>Perth - Perth RedStar 1:1</t>
        </is>
      </c>
      <c r="D15" t="inlineStr">
        <is>
          <t>Australia. Western Australia NPL Women</t>
        </is>
      </c>
      <c r="E15" t="n">
        <v>96</v>
      </c>
      <c r="F15" t="inlineStr">
        <is>
          <t>Perth RedStar</t>
        </is>
      </c>
      <c r="G15" t="inlineStr">
        <is>
          <t>4-4-2 (100.0%)</t>
        </is>
      </c>
      <c r="H15" t="n">
        <v>1</v>
      </c>
      <c r="I15" t="n">
        <v>0.6</v>
      </c>
      <c r="J15" t="n">
        <v>6</v>
      </c>
      <c r="K15" t="n">
        <v>1</v>
      </c>
      <c r="L15" t="n">
        <v>16.67</v>
      </c>
      <c r="M15" t="n">
        <v>420</v>
      </c>
      <c r="N15" t="n">
        <v>315</v>
      </c>
      <c r="O15" t="n">
        <v>75</v>
      </c>
      <c r="P15" t="n">
        <v>54.14</v>
      </c>
      <c r="Q15" t="n">
        <v>157</v>
      </c>
      <c r="R15" t="n">
        <v>21</v>
      </c>
      <c r="S15" t="n">
        <v>68</v>
      </c>
      <c r="T15" t="n">
        <v>68</v>
      </c>
      <c r="U15" t="n">
        <v>105</v>
      </c>
      <c r="V15" t="n">
        <v>44</v>
      </c>
      <c r="W15" t="n">
        <v>46</v>
      </c>
      <c r="X15" t="n">
        <v>15</v>
      </c>
      <c r="Y15" t="n">
        <v>259</v>
      </c>
      <c r="Z15" t="n">
        <v>116</v>
      </c>
      <c r="AA15" t="n">
        <v>44.79</v>
      </c>
    </row>
    <row r="16">
      <c r="A16" t="n">
        <v>15</v>
      </c>
      <c r="B16" t="inlineStr">
        <is>
          <t>2026-05-16</t>
        </is>
      </c>
      <c r="C16" t="inlineStr">
        <is>
          <t>West NTC - Perth 0:1</t>
        </is>
      </c>
      <c r="D16" t="inlineStr">
        <is>
          <t>Australia. Western Australia NPL Women</t>
        </is>
      </c>
      <c r="E16" t="n">
        <v>93</v>
      </c>
      <c r="F16" t="inlineStr">
        <is>
          <t>Perth</t>
        </is>
      </c>
      <c r="G16" t="inlineStr">
        <is>
          <t>4-1-4-1 (100.0%)</t>
        </is>
      </c>
      <c r="H16" t="n">
        <v>1</v>
      </c>
      <c r="I16" t="n">
        <v>1</v>
      </c>
      <c r="J16" t="n">
        <v>12</v>
      </c>
      <c r="K16" t="n">
        <v>6</v>
      </c>
      <c r="L16" t="n">
        <v>50</v>
      </c>
      <c r="M16" t="n">
        <v>596</v>
      </c>
      <c r="N16" t="n">
        <v>453</v>
      </c>
      <c r="O16" t="n">
        <v>76.01000000000001</v>
      </c>
      <c r="P16" t="n">
        <v>64.09</v>
      </c>
      <c r="Q16" t="n">
        <v>174</v>
      </c>
      <c r="R16" t="n">
        <v>25</v>
      </c>
      <c r="S16" t="n">
        <v>63</v>
      </c>
      <c r="T16" t="n">
        <v>86</v>
      </c>
      <c r="U16" t="n">
        <v>121</v>
      </c>
      <c r="V16" t="n">
        <v>32</v>
      </c>
      <c r="W16" t="n">
        <v>64</v>
      </c>
      <c r="X16" t="n">
        <v>25</v>
      </c>
      <c r="Y16" t="n">
        <v>222</v>
      </c>
      <c r="Z16" t="n">
        <v>125</v>
      </c>
      <c r="AA16" t="n">
        <v>56.31</v>
      </c>
    </row>
    <row r="17">
      <c r="A17" t="n">
        <v>16</v>
      </c>
      <c r="B17" t="inlineStr">
        <is>
          <t>2026-05-16</t>
        </is>
      </c>
      <c r="C17" t="inlineStr">
        <is>
          <t>West NTC - Perth 0:1</t>
        </is>
      </c>
      <c r="D17" t="inlineStr">
        <is>
          <t>Australia. Western Australia NPL Women</t>
        </is>
      </c>
      <c r="E17" t="n">
        <v>93</v>
      </c>
      <c r="F17" t="inlineStr">
        <is>
          <t>West NTC</t>
        </is>
      </c>
      <c r="G17" t="inlineStr">
        <is>
          <t>4-4-2 (100.0%)</t>
        </is>
      </c>
      <c r="H17" t="n">
        <v>0</v>
      </c>
      <c r="I17" t="n">
        <v>0.38</v>
      </c>
      <c r="J17" t="n">
        <v>8</v>
      </c>
      <c r="K17" t="n">
        <v>4</v>
      </c>
      <c r="L17" t="n">
        <v>50</v>
      </c>
      <c r="M17" t="n">
        <v>311</v>
      </c>
      <c r="N17" t="n">
        <v>189</v>
      </c>
      <c r="O17" t="n">
        <v>60.77</v>
      </c>
      <c r="P17" t="n">
        <v>35.91</v>
      </c>
      <c r="Q17" t="n">
        <v>181</v>
      </c>
      <c r="R17" t="n">
        <v>34</v>
      </c>
      <c r="S17" t="n">
        <v>93</v>
      </c>
      <c r="T17" t="n">
        <v>54</v>
      </c>
      <c r="U17" t="n">
        <v>102</v>
      </c>
      <c r="V17" t="n">
        <v>49</v>
      </c>
      <c r="W17" t="n">
        <v>41</v>
      </c>
      <c r="X17" t="n">
        <v>12</v>
      </c>
      <c r="Y17" t="n">
        <v>222</v>
      </c>
      <c r="Z17" t="n">
        <v>92</v>
      </c>
      <c r="AA17" t="n">
        <v>41.44</v>
      </c>
    </row>
    <row r="18">
      <c r="A18" t="n">
        <v>17</v>
      </c>
      <c r="B18" t="inlineStr">
        <is>
          <t>2026-05-24</t>
        </is>
      </c>
      <c r="C18" t="inlineStr">
        <is>
          <t>Subiaco - Perth 0:5</t>
        </is>
      </c>
      <c r="D18" t="inlineStr">
        <is>
          <t>Australia. Western Australia NPL Women</t>
        </is>
      </c>
      <c r="E18" t="n">
        <v>95</v>
      </c>
      <c r="F18" t="inlineStr">
        <is>
          <t>Perth</t>
        </is>
      </c>
      <c r="G18" t="inlineStr">
        <is>
          <t>4-2-3-1 (100.0%)</t>
        </is>
      </c>
      <c r="H18" t="n">
        <v>5</v>
      </c>
      <c r="I18" t="n">
        <v>2.25</v>
      </c>
      <c r="J18" t="n">
        <v>16</v>
      </c>
      <c r="K18" t="n">
        <v>13</v>
      </c>
      <c r="L18" t="n">
        <v>81.25</v>
      </c>
      <c r="M18" t="n">
        <v>376</v>
      </c>
      <c r="N18" t="n">
        <v>265</v>
      </c>
      <c r="O18" t="n">
        <v>70.48</v>
      </c>
      <c r="P18" t="n">
        <v>55.9</v>
      </c>
      <c r="Q18" t="n">
        <v>137</v>
      </c>
      <c r="R18" t="n">
        <v>20</v>
      </c>
      <c r="S18" t="n">
        <v>48</v>
      </c>
      <c r="T18" t="n">
        <v>69</v>
      </c>
      <c r="U18" t="n">
        <v>105</v>
      </c>
      <c r="V18" t="n">
        <v>39</v>
      </c>
      <c r="W18" t="n">
        <v>44</v>
      </c>
      <c r="X18" t="n">
        <v>22</v>
      </c>
      <c r="Y18" t="n">
        <v>242</v>
      </c>
      <c r="Z18" t="n">
        <v>126</v>
      </c>
      <c r="AA18" t="n">
        <v>52.07</v>
      </c>
    </row>
    <row r="19">
      <c r="A19" t="n">
        <v>18</v>
      </c>
      <c r="B19" t="inlineStr">
        <is>
          <t>2026-05-24</t>
        </is>
      </c>
      <c r="C19" t="inlineStr">
        <is>
          <t>Subiaco - Perth 0:5</t>
        </is>
      </c>
      <c r="D19" t="inlineStr">
        <is>
          <t>Australia. Western Australia NPL Women</t>
        </is>
      </c>
      <c r="E19" t="n">
        <v>95</v>
      </c>
      <c r="F19" t="inlineStr">
        <is>
          <t>Subiaco</t>
        </is>
      </c>
      <c r="G19" t="inlineStr">
        <is>
          <t>4-3-3 (100.0%)</t>
        </is>
      </c>
      <c r="H19" t="n">
        <v>0</v>
      </c>
      <c r="I19" t="n">
        <v>0.13</v>
      </c>
      <c r="J19" t="n">
        <v>5</v>
      </c>
      <c r="K19" t="n">
        <v>1</v>
      </c>
      <c r="L19" t="n">
        <v>20</v>
      </c>
      <c r="M19" t="n">
        <v>328</v>
      </c>
      <c r="N19" t="n">
        <v>215</v>
      </c>
      <c r="O19" t="n">
        <v>65.55</v>
      </c>
      <c r="P19" t="n">
        <v>44.1</v>
      </c>
      <c r="Q19" t="n">
        <v>164</v>
      </c>
      <c r="R19" t="n">
        <v>39</v>
      </c>
      <c r="S19" t="n">
        <v>58</v>
      </c>
      <c r="T19" t="n">
        <v>67</v>
      </c>
      <c r="U19" t="n">
        <v>89</v>
      </c>
      <c r="V19" t="n">
        <v>41</v>
      </c>
      <c r="W19" t="n">
        <v>36</v>
      </c>
      <c r="X19" t="n">
        <v>12</v>
      </c>
      <c r="Y19" t="n">
        <v>242</v>
      </c>
      <c r="Z19" t="n">
        <v>107</v>
      </c>
      <c r="AA19" t="n">
        <v>44.21</v>
      </c>
    </row>
    <row r="20">
      <c r="A20" t="n">
        <v>19</v>
      </c>
      <c r="B20" t="inlineStr">
        <is>
          <t>2026-05-31</t>
        </is>
      </c>
      <c r="C20" t="inlineStr">
        <is>
          <t>Perth - Sorrento 3:0</t>
        </is>
      </c>
      <c r="D20" t="inlineStr">
        <is>
          <t>Australia. Western Australia NPL Women</t>
        </is>
      </c>
      <c r="E20" t="n">
        <v>94</v>
      </c>
      <c r="F20" t="inlineStr">
        <is>
          <t>Perth</t>
        </is>
      </c>
      <c r="G20" t="inlineStr">
        <is>
          <t>4-4-2 (100.0%)</t>
        </is>
      </c>
      <c r="H20" t="n">
        <v>3</v>
      </c>
      <c r="I20" t="n">
        <v>4.37</v>
      </c>
      <c r="J20" t="n">
        <v>31</v>
      </c>
      <c r="K20" t="n">
        <v>6</v>
      </c>
      <c r="L20" t="n">
        <v>19.35</v>
      </c>
      <c r="M20" t="n">
        <v>559</v>
      </c>
      <c r="N20" t="n">
        <v>467</v>
      </c>
      <c r="O20" t="n">
        <v>83.54000000000001</v>
      </c>
      <c r="P20" t="n">
        <v>62.54</v>
      </c>
      <c r="Q20" t="n">
        <v>108</v>
      </c>
      <c r="R20" t="n">
        <v>1</v>
      </c>
      <c r="S20" t="n">
        <v>13</v>
      </c>
      <c r="T20" t="n">
        <v>94</v>
      </c>
      <c r="U20" t="n">
        <v>91</v>
      </c>
      <c r="V20" t="n">
        <v>8</v>
      </c>
      <c r="W20" t="n">
        <v>38</v>
      </c>
      <c r="X20" t="n">
        <v>45</v>
      </c>
      <c r="Y20" t="n">
        <v>179</v>
      </c>
      <c r="Z20" t="n">
        <v>84</v>
      </c>
      <c r="AA20" t="n">
        <v>46.93</v>
      </c>
    </row>
    <row r="21">
      <c r="A21" t="n">
        <v>20</v>
      </c>
      <c r="B21" t="inlineStr">
        <is>
          <t>2026-05-31</t>
        </is>
      </c>
      <c r="C21" t="inlineStr">
        <is>
          <t>Perth - Sorrento 3:0</t>
        </is>
      </c>
      <c r="D21" t="inlineStr">
        <is>
          <t>Australia. Western Australia NPL Women</t>
        </is>
      </c>
      <c r="E21" t="n">
        <v>94</v>
      </c>
      <c r="F21" t="inlineStr">
        <is>
          <t>Sorrento</t>
        </is>
      </c>
      <c r="G21" t="inlineStr">
        <is>
          <t>4-5-1 (100.0%)</t>
        </is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284</v>
      </c>
      <c r="N21" t="n">
        <v>178</v>
      </c>
      <c r="O21" t="n">
        <v>62.68</v>
      </c>
      <c r="P21" t="n">
        <v>37.46</v>
      </c>
      <c r="Q21" t="n">
        <v>140</v>
      </c>
      <c r="R21" t="n">
        <v>63</v>
      </c>
      <c r="S21" t="n">
        <v>61</v>
      </c>
      <c r="T21" t="n">
        <v>16</v>
      </c>
      <c r="U21" t="n">
        <v>75</v>
      </c>
      <c r="V21" t="n">
        <v>68</v>
      </c>
      <c r="W21" t="n">
        <v>6</v>
      </c>
      <c r="X21" t="n">
        <v>1</v>
      </c>
      <c r="Y21" t="n">
        <v>179</v>
      </c>
      <c r="Z21" t="n">
        <v>93</v>
      </c>
      <c r="AA21" t="n">
        <v>51.96</v>
      </c>
    </row>
    <row r="22">
      <c r="A22" t="n">
        <v>21</v>
      </c>
      <c r="B22" t="inlineStr">
        <is>
          <t>2026-06-14</t>
        </is>
      </c>
      <c r="C22" t="inlineStr">
        <is>
          <t>Perth - West NTC 3:0</t>
        </is>
      </c>
      <c r="D22" t="inlineStr">
        <is>
          <t>Australia. Western Australia NPL Women</t>
        </is>
      </c>
      <c r="E22" t="n">
        <v>95</v>
      </c>
      <c r="F22" t="inlineStr">
        <is>
          <t>Perth</t>
        </is>
      </c>
      <c r="G22" t="inlineStr">
        <is>
          <t>4-2-3-1 (100.0%)</t>
        </is>
      </c>
      <c r="H22" t="n">
        <v>3</v>
      </c>
      <c r="I22" t="n">
        <v>2.57</v>
      </c>
      <c r="J22" t="n">
        <v>23</v>
      </c>
      <c r="K22" t="n">
        <v>7</v>
      </c>
      <c r="L22" t="n">
        <v>30.43</v>
      </c>
      <c r="M22" t="n">
        <v>610</v>
      </c>
      <c r="N22" t="n">
        <v>488</v>
      </c>
      <c r="O22" t="n">
        <v>80</v>
      </c>
      <c r="P22" t="n">
        <v>59.26</v>
      </c>
      <c r="Q22" t="n">
        <v>159</v>
      </c>
      <c r="R22" t="n">
        <v>11</v>
      </c>
      <c r="S22" t="n">
        <v>54</v>
      </c>
      <c r="T22" t="n">
        <v>94</v>
      </c>
      <c r="U22" t="n">
        <v>105</v>
      </c>
      <c r="V22" t="n">
        <v>29</v>
      </c>
      <c r="W22" t="n">
        <v>55</v>
      </c>
      <c r="X22" t="n">
        <v>21</v>
      </c>
      <c r="Y22" t="n">
        <v>171</v>
      </c>
      <c r="Z22" t="n">
        <v>79</v>
      </c>
      <c r="AA22" t="n">
        <v>46.2</v>
      </c>
    </row>
    <row r="23">
      <c r="A23" t="n">
        <v>22</v>
      </c>
      <c r="B23" t="inlineStr">
        <is>
          <t>2026-06-14</t>
        </is>
      </c>
      <c r="C23" t="inlineStr">
        <is>
          <t>Perth - West NTC 3:0</t>
        </is>
      </c>
      <c r="D23" t="inlineStr">
        <is>
          <t>Australia. Western Australia NPL Women</t>
        </is>
      </c>
      <c r="E23" t="n">
        <v>95</v>
      </c>
      <c r="F23" t="inlineStr">
        <is>
          <t>West NTC</t>
        </is>
      </c>
      <c r="G23" t="inlineStr">
        <is>
          <t>4-4-2 (100.0%)</t>
        </is>
      </c>
      <c r="H23" t="n">
        <v>0</v>
      </c>
      <c r="I23" t="n">
        <v>0.45</v>
      </c>
      <c r="J23" t="n">
        <v>7</v>
      </c>
      <c r="K23" t="n">
        <v>2</v>
      </c>
      <c r="L23" t="n">
        <v>28.57</v>
      </c>
      <c r="M23" t="n">
        <v>401</v>
      </c>
      <c r="N23" t="n">
        <v>277</v>
      </c>
      <c r="O23" t="n">
        <v>69.08</v>
      </c>
      <c r="P23" t="n">
        <v>40.74</v>
      </c>
      <c r="Q23" t="n">
        <v>172</v>
      </c>
      <c r="R23" t="n">
        <v>47</v>
      </c>
      <c r="S23" t="n">
        <v>74</v>
      </c>
      <c r="T23" t="n">
        <v>51</v>
      </c>
      <c r="U23" t="n">
        <v>106</v>
      </c>
      <c r="V23" t="n">
        <v>59</v>
      </c>
      <c r="W23" t="n">
        <v>42</v>
      </c>
      <c r="X23" t="n">
        <v>5</v>
      </c>
      <c r="Y23" t="n">
        <v>171</v>
      </c>
      <c r="Z23" t="n">
        <v>90</v>
      </c>
      <c r="AA23" t="n">
        <v>52.63</v>
      </c>
    </row>
    <row r="24">
      <c r="A24" t="n">
        <v>23</v>
      </c>
      <c r="B24" t="inlineStr">
        <is>
          <t>2026-06-20</t>
        </is>
      </c>
      <c r="C24" t="inlineStr">
        <is>
          <t>Balcatta - Perth 0:1</t>
        </is>
      </c>
      <c r="D24" t="inlineStr">
        <is>
          <t>Australia. Western Australia NPL Women</t>
        </is>
      </c>
      <c r="E24" t="n">
        <v>91</v>
      </c>
      <c r="F24" t="inlineStr">
        <is>
          <t>Perth</t>
        </is>
      </c>
      <c r="G24" t="inlineStr">
        <is>
          <t>4-1-4-1 (100.0%)</t>
        </is>
      </c>
      <c r="H24" t="n">
        <v>1</v>
      </c>
      <c r="I24" t="n">
        <v>0.66</v>
      </c>
      <c r="J24" t="n">
        <v>13</v>
      </c>
      <c r="K24" t="n">
        <v>6</v>
      </c>
      <c r="L24" t="n">
        <v>46.15</v>
      </c>
      <c r="M24" t="n">
        <v>366</v>
      </c>
      <c r="N24" t="n">
        <v>247</v>
      </c>
      <c r="O24" t="n">
        <v>67.48999999999999</v>
      </c>
      <c r="P24" t="n">
        <v>44.61</v>
      </c>
      <c r="Q24" t="n">
        <v>136</v>
      </c>
      <c r="R24" t="n">
        <v>15</v>
      </c>
      <c r="S24" t="n">
        <v>46</v>
      </c>
      <c r="T24" t="n">
        <v>75</v>
      </c>
      <c r="U24" t="n">
        <v>99</v>
      </c>
      <c r="V24" t="n">
        <v>33</v>
      </c>
      <c r="W24" t="n">
        <v>43</v>
      </c>
      <c r="X24" t="n">
        <v>23</v>
      </c>
      <c r="Y24" t="n">
        <v>215</v>
      </c>
      <c r="Z24" t="n">
        <v>100</v>
      </c>
      <c r="AA24" t="n">
        <v>46.51</v>
      </c>
    </row>
    <row r="25">
      <c r="A25" t="n">
        <v>24</v>
      </c>
      <c r="B25" t="inlineStr">
        <is>
          <t>2026-06-20</t>
        </is>
      </c>
      <c r="C25" t="inlineStr">
        <is>
          <t>Balcatta - Perth 0:1</t>
        </is>
      </c>
      <c r="D25" t="inlineStr">
        <is>
          <t>Australia. Western Australia NPL Women</t>
        </is>
      </c>
      <c r="E25" t="n">
        <v>91</v>
      </c>
      <c r="F25" t="inlineStr">
        <is>
          <t>Balcatta</t>
        </is>
      </c>
      <c r="G25" t="inlineStr">
        <is>
          <t>4-2-3-1 (49.96%)</t>
        </is>
      </c>
      <c r="H25" t="n">
        <v>0</v>
      </c>
      <c r="I25" t="n">
        <v>0.93</v>
      </c>
      <c r="J25" t="n">
        <v>8</v>
      </c>
      <c r="K25" t="n">
        <v>4</v>
      </c>
      <c r="L25" t="n">
        <v>50</v>
      </c>
      <c r="M25" t="n">
        <v>416</v>
      </c>
      <c r="N25" t="n">
        <v>294</v>
      </c>
      <c r="O25" t="n">
        <v>70.67</v>
      </c>
      <c r="P25" t="n">
        <v>55.39</v>
      </c>
      <c r="Q25" t="n">
        <v>165</v>
      </c>
      <c r="R25" t="n">
        <v>35</v>
      </c>
      <c r="S25" t="n">
        <v>74</v>
      </c>
      <c r="T25" t="n">
        <v>56</v>
      </c>
      <c r="U25" t="n">
        <v>98</v>
      </c>
      <c r="V25" t="n">
        <v>46</v>
      </c>
      <c r="W25" t="n">
        <v>36</v>
      </c>
      <c r="X25" t="n">
        <v>16</v>
      </c>
      <c r="Y25" t="n">
        <v>215</v>
      </c>
      <c r="Z25" t="n">
        <v>109</v>
      </c>
      <c r="AA25" t="n">
        <v>50.7</v>
      </c>
    </row>
    <row r="26">
      <c r="A26" t="n">
        <v>25</v>
      </c>
      <c r="B26" t="inlineStr">
        <is>
          <t>2026-06-28</t>
        </is>
      </c>
      <c r="C26" t="inlineStr">
        <is>
          <t>Perth - Fremantle City 2:1</t>
        </is>
      </c>
      <c r="D26" t="inlineStr">
        <is>
          <t>Australia. Western Australia NPL Women</t>
        </is>
      </c>
      <c r="E26" t="n">
        <v>100</v>
      </c>
      <c r="F26" t="inlineStr">
        <is>
          <t>Perth</t>
        </is>
      </c>
      <c r="G26" t="inlineStr">
        <is>
          <t>4-2-3-1 (100.0%)</t>
        </is>
      </c>
      <c r="H26" t="n">
        <v>2</v>
      </c>
      <c r="I26" t="n">
        <v>1.94</v>
      </c>
      <c r="J26" t="n">
        <v>14</v>
      </c>
      <c r="K26" t="n">
        <v>4</v>
      </c>
      <c r="L26" t="n">
        <v>28.57</v>
      </c>
      <c r="M26" t="n">
        <v>283</v>
      </c>
      <c r="N26" t="n">
        <v>181</v>
      </c>
      <c r="O26" t="n">
        <v>63.96</v>
      </c>
      <c r="P26" t="n">
        <v>37.32</v>
      </c>
      <c r="Q26" t="n">
        <v>126</v>
      </c>
      <c r="R26" t="n">
        <v>16</v>
      </c>
      <c r="S26" t="n">
        <v>48</v>
      </c>
      <c r="T26" t="n">
        <v>62</v>
      </c>
      <c r="U26" t="n">
        <v>87</v>
      </c>
      <c r="V26" t="n">
        <v>43</v>
      </c>
      <c r="W26" t="n">
        <v>30</v>
      </c>
      <c r="X26" t="n">
        <v>14</v>
      </c>
      <c r="Y26" t="n">
        <v>236</v>
      </c>
      <c r="Z26" t="n">
        <v>124</v>
      </c>
      <c r="AA26" t="n">
        <v>52.54</v>
      </c>
    </row>
    <row r="27">
      <c r="A27" t="n">
        <v>26</v>
      </c>
      <c r="B27" t="inlineStr">
        <is>
          <t>2026-06-28</t>
        </is>
      </c>
      <c r="C27" t="inlineStr">
        <is>
          <t>Perth - Fremantle City 2:1</t>
        </is>
      </c>
      <c r="D27" t="inlineStr">
        <is>
          <t>Australia. Western Australia NPL Women</t>
        </is>
      </c>
      <c r="E27" t="n">
        <v>100</v>
      </c>
      <c r="F27" t="inlineStr">
        <is>
          <t>Fremantle City</t>
        </is>
      </c>
      <c r="G27" t="inlineStr">
        <is>
          <t>4-4-2 (100.0%)</t>
        </is>
      </c>
      <c r="H27" t="n">
        <v>1</v>
      </c>
      <c r="I27" t="n">
        <v>1.21</v>
      </c>
      <c r="J27" t="n">
        <v>8</v>
      </c>
      <c r="K27" t="n">
        <v>2</v>
      </c>
      <c r="L27" t="n">
        <v>25</v>
      </c>
      <c r="M27" t="n">
        <v>463</v>
      </c>
      <c r="N27" t="n">
        <v>363</v>
      </c>
      <c r="O27" t="n">
        <v>78.40000000000001</v>
      </c>
      <c r="P27" t="n">
        <v>62.68</v>
      </c>
      <c r="Q27" t="n">
        <v>134</v>
      </c>
      <c r="R27" t="n">
        <v>25</v>
      </c>
      <c r="S27" t="n">
        <v>46</v>
      </c>
      <c r="T27" t="n">
        <v>63</v>
      </c>
      <c r="U27" t="n">
        <v>85</v>
      </c>
      <c r="V27" t="n">
        <v>35</v>
      </c>
      <c r="W27" t="n">
        <v>33</v>
      </c>
      <c r="X27" t="n">
        <v>17</v>
      </c>
      <c r="Y27" t="n">
        <v>236</v>
      </c>
      <c r="Z27" t="n">
        <v>104</v>
      </c>
      <c r="AA27" t="n">
        <v>44.07</v>
      </c>
    </row>
    <row r="28">
      <c r="A28" t="n">
        <v>27</v>
      </c>
      <c r="B28" t="inlineStr">
        <is>
          <t>2026-07-05</t>
        </is>
      </c>
      <c r="C28" t="inlineStr">
        <is>
          <t>Perth RedStar - Perth 0:1</t>
        </is>
      </c>
      <c r="D28" t="inlineStr">
        <is>
          <t>Australia. Western Australia NPL Women</t>
        </is>
      </c>
      <c r="E28" t="n">
        <v>96</v>
      </c>
      <c r="F28" t="inlineStr">
        <is>
          <t>Perth</t>
        </is>
      </c>
      <c r="G28" t="inlineStr">
        <is>
          <t>4-2-3-1 (100.0%)</t>
        </is>
      </c>
      <c r="H28" t="n">
        <v>1</v>
      </c>
      <c r="I28" t="n">
        <v>3.44</v>
      </c>
      <c r="J28" t="n">
        <v>19</v>
      </c>
      <c r="K28" t="n">
        <v>12</v>
      </c>
      <c r="L28" t="n">
        <v>63.16</v>
      </c>
      <c r="M28" t="n">
        <v>369</v>
      </c>
      <c r="N28" t="n">
        <v>240</v>
      </c>
      <c r="O28" t="n">
        <v>65.04000000000001</v>
      </c>
      <c r="P28" t="n">
        <v>48.8</v>
      </c>
      <c r="Q28" t="n">
        <v>156</v>
      </c>
      <c r="R28" t="n">
        <v>23</v>
      </c>
      <c r="S28" t="n">
        <v>72</v>
      </c>
      <c r="T28" t="n">
        <v>61</v>
      </c>
      <c r="U28" t="n">
        <v>89</v>
      </c>
      <c r="V28" t="n">
        <v>23</v>
      </c>
      <c r="W28" t="n">
        <v>51</v>
      </c>
      <c r="X28" t="n">
        <v>15</v>
      </c>
      <c r="Y28" t="n">
        <v>210</v>
      </c>
      <c r="Z28" t="n">
        <v>96</v>
      </c>
      <c r="AA28" t="n">
        <v>45.71</v>
      </c>
    </row>
    <row r="29">
      <c r="A29" t="n">
        <v>28</v>
      </c>
      <c r="B29" t="inlineStr">
        <is>
          <t>2026-07-05</t>
        </is>
      </c>
      <c r="C29" t="inlineStr">
        <is>
          <t>Perth RedStar - Perth 0:1</t>
        </is>
      </c>
      <c r="D29" t="inlineStr">
        <is>
          <t>Australia. Western Australia NPL Women</t>
        </is>
      </c>
      <c r="E29" t="n">
        <v>96</v>
      </c>
      <c r="F29" t="inlineStr">
        <is>
          <t>Perth RedStar</t>
        </is>
      </c>
      <c r="G29" t="inlineStr">
        <is>
          <t>4-3-3 (100.0%)</t>
        </is>
      </c>
      <c r="H29" t="n">
        <v>0</v>
      </c>
      <c r="I29" t="n">
        <v>0.2</v>
      </c>
      <c r="J29" t="n">
        <v>5</v>
      </c>
      <c r="K29" t="n">
        <v>2</v>
      </c>
      <c r="L29" t="n">
        <v>40</v>
      </c>
      <c r="M29" t="n">
        <v>333</v>
      </c>
      <c r="N29" t="n">
        <v>227</v>
      </c>
      <c r="O29" t="n">
        <v>68.17</v>
      </c>
      <c r="P29" t="n">
        <v>51.2</v>
      </c>
      <c r="Q29" t="n">
        <v>163</v>
      </c>
      <c r="R29" t="n">
        <v>30</v>
      </c>
      <c r="S29" t="n">
        <v>89</v>
      </c>
      <c r="T29" t="n">
        <v>44</v>
      </c>
      <c r="U29" t="n">
        <v>95</v>
      </c>
      <c r="V29" t="n">
        <v>42</v>
      </c>
      <c r="W29" t="n">
        <v>37</v>
      </c>
      <c r="X29" t="n">
        <v>16</v>
      </c>
      <c r="Y29" t="n">
        <v>210</v>
      </c>
      <c r="Z29" t="n">
        <v>92</v>
      </c>
      <c r="AA29" t="n">
        <v>43.81</v>
      </c>
    </row>
    <row r="30">
      <c r="A30" t="n">
        <v>29</v>
      </c>
      <c r="B30" t="inlineStr">
        <is>
          <t>2026-07-11</t>
        </is>
      </c>
      <c r="C30" t="inlineStr">
        <is>
          <t>Perth - UWA Nedlands 4:1</t>
        </is>
      </c>
      <c r="D30" t="inlineStr">
        <is>
          <t>Australia. Western Australia NPL Women</t>
        </is>
      </c>
      <c r="E30" t="n">
        <v>97</v>
      </c>
      <c r="F30" t="inlineStr">
        <is>
          <t>Perth</t>
        </is>
      </c>
      <c r="G30" t="inlineStr">
        <is>
          <t>4-2-3-1 (100.0%)</t>
        </is>
      </c>
      <c r="H30" t="n">
        <v>4</v>
      </c>
      <c r="I30" t="n">
        <v>4.64</v>
      </c>
      <c r="J30" t="n">
        <v>24</v>
      </c>
      <c r="K30" t="n">
        <v>12</v>
      </c>
      <c r="L30" t="n">
        <v>50</v>
      </c>
      <c r="M30" t="n">
        <v>417</v>
      </c>
      <c r="N30" t="n">
        <v>291</v>
      </c>
      <c r="O30" t="n">
        <v>69.78</v>
      </c>
      <c r="P30" t="n">
        <v>57.26</v>
      </c>
      <c r="Q30" t="n">
        <v>151</v>
      </c>
      <c r="R30" t="n">
        <v>15</v>
      </c>
      <c r="S30" t="n">
        <v>48</v>
      </c>
      <c r="T30" t="n">
        <v>88</v>
      </c>
      <c r="U30" t="n">
        <v>111</v>
      </c>
      <c r="V30" t="n">
        <v>31</v>
      </c>
      <c r="W30" t="n">
        <v>52</v>
      </c>
      <c r="X30" t="n">
        <v>28</v>
      </c>
      <c r="Y30" t="n">
        <v>217</v>
      </c>
      <c r="Z30" t="n">
        <v>91</v>
      </c>
      <c r="AA30" t="n">
        <v>41.94</v>
      </c>
    </row>
    <row r="31">
      <c r="A31" t="n">
        <v>30</v>
      </c>
      <c r="B31" t="inlineStr">
        <is>
          <t>2026-07-11</t>
        </is>
      </c>
      <c r="C31" t="inlineStr">
        <is>
          <t>Perth - UWA Nedlands 4:1</t>
        </is>
      </c>
      <c r="D31" t="inlineStr">
        <is>
          <t>Australia. Western Australia NPL Women</t>
        </is>
      </c>
      <c r="E31" t="n">
        <v>97</v>
      </c>
      <c r="F31" t="inlineStr">
        <is>
          <t>UWA Nedlands</t>
        </is>
      </c>
      <c r="G31" t="inlineStr">
        <is>
          <t>4-5-1 (100.0%)</t>
        </is>
      </c>
      <c r="H31" t="n">
        <v>1</v>
      </c>
      <c r="I31" t="n">
        <v>0.48</v>
      </c>
      <c r="J31" t="n">
        <v>6</v>
      </c>
      <c r="K31" t="n">
        <v>2</v>
      </c>
      <c r="L31" t="n">
        <v>33.33</v>
      </c>
      <c r="M31" t="n">
        <v>254</v>
      </c>
      <c r="N31" t="n">
        <v>154</v>
      </c>
      <c r="O31" t="n">
        <v>60.63</v>
      </c>
      <c r="P31" t="n">
        <v>42.74</v>
      </c>
      <c r="Q31" t="n">
        <v>169</v>
      </c>
      <c r="R31" t="n">
        <v>52</v>
      </c>
      <c r="S31" t="n">
        <v>66</v>
      </c>
      <c r="T31" t="n">
        <v>51</v>
      </c>
      <c r="U31" t="n">
        <v>85</v>
      </c>
      <c r="V31" t="n">
        <v>46</v>
      </c>
      <c r="W31" t="n">
        <v>30</v>
      </c>
      <c r="X31" t="n">
        <v>9</v>
      </c>
      <c r="Y31" t="n">
        <v>217</v>
      </c>
      <c r="Z31" t="n">
        <v>121</v>
      </c>
      <c r="AA31" t="n">
        <v>55.76</v>
      </c>
    </row>
    <row r="32">
      <c r="A32" t="n">
        <v>31</v>
      </c>
      <c r="B32" t="inlineStr">
        <is>
          <t>2026-07-17</t>
        </is>
      </c>
      <c r="C32" t="inlineStr">
        <is>
          <t>Sorrento - Perth 0:1</t>
        </is>
      </c>
      <c r="D32" t="inlineStr">
        <is>
          <t>Australia. Western Australia NPL Women</t>
        </is>
      </c>
      <c r="E32" t="n">
        <v>95</v>
      </c>
      <c r="F32" t="inlineStr">
        <is>
          <t>Perth</t>
        </is>
      </c>
      <c r="G32" t="inlineStr">
        <is>
          <t>4-2-3-1 (100.0%)</t>
        </is>
      </c>
      <c r="H32" t="n">
        <v>1</v>
      </c>
      <c r="I32" t="n">
        <v>2.78</v>
      </c>
      <c r="J32" t="n">
        <v>26</v>
      </c>
      <c r="K32" t="n">
        <v>6</v>
      </c>
      <c r="L32" t="n">
        <v>23.08</v>
      </c>
      <c r="M32" t="n">
        <v>575</v>
      </c>
      <c r="N32" t="n">
        <v>441</v>
      </c>
      <c r="O32" t="n">
        <v>76.7</v>
      </c>
      <c r="P32" t="n">
        <v>65.3</v>
      </c>
      <c r="Q32" t="n">
        <v>150</v>
      </c>
      <c r="R32" t="n">
        <v>7</v>
      </c>
      <c r="S32" t="n">
        <v>43</v>
      </c>
      <c r="T32" t="n">
        <v>100</v>
      </c>
      <c r="U32" t="n">
        <v>109</v>
      </c>
      <c r="V32" t="n">
        <v>24</v>
      </c>
      <c r="W32" t="n">
        <v>46</v>
      </c>
      <c r="X32" t="n">
        <v>39</v>
      </c>
      <c r="Y32" t="n">
        <v>174</v>
      </c>
      <c r="Z32" t="n">
        <v>86</v>
      </c>
      <c r="AA32" t="n">
        <v>49.43</v>
      </c>
    </row>
    <row r="33">
      <c r="A33" t="n">
        <v>32</v>
      </c>
      <c r="B33" t="inlineStr">
        <is>
          <t>2026-07-17</t>
        </is>
      </c>
      <c r="C33" t="inlineStr">
        <is>
          <t>Sorrento - Perth 0:1</t>
        </is>
      </c>
      <c r="D33" t="inlineStr">
        <is>
          <t>Australia. Western Australia NPL Women</t>
        </is>
      </c>
      <c r="E33" t="n">
        <v>95</v>
      </c>
      <c r="F33" t="inlineStr">
        <is>
          <t>Sorrento</t>
        </is>
      </c>
      <c r="G33" t="inlineStr">
        <is>
          <t>4-3-3 (100.0%)</t>
        </is>
      </c>
      <c r="H33" t="n">
        <v>0</v>
      </c>
      <c r="I33" t="n">
        <v>0.03</v>
      </c>
      <c r="J33" t="n">
        <v>2</v>
      </c>
      <c r="K33" t="n">
        <v>1</v>
      </c>
      <c r="L33" t="n">
        <v>50</v>
      </c>
      <c r="M33" t="n">
        <v>267</v>
      </c>
      <c r="N33" t="n">
        <v>155</v>
      </c>
      <c r="O33" t="n">
        <v>58.05</v>
      </c>
      <c r="P33" t="n">
        <v>34.7</v>
      </c>
      <c r="Q33" t="n">
        <v>169</v>
      </c>
      <c r="R33" t="n">
        <v>65</v>
      </c>
      <c r="S33" t="n">
        <v>66</v>
      </c>
      <c r="T33" t="n">
        <v>38</v>
      </c>
      <c r="U33" t="n">
        <v>85</v>
      </c>
      <c r="V33" t="n">
        <v>55</v>
      </c>
      <c r="W33" t="n">
        <v>27</v>
      </c>
      <c r="X33" t="n">
        <v>3</v>
      </c>
      <c r="Y33" t="n">
        <v>174</v>
      </c>
      <c r="Z33" t="n">
        <v>83</v>
      </c>
      <c r="AA33" t="n">
        <v>47.7</v>
      </c>
    </row>
    <row r="34">
      <c r="A34" t="n">
        <v>33</v>
      </c>
      <c r="B34" t="inlineStr">
        <is>
          <t>2026-07-26</t>
        </is>
      </c>
      <c r="C34" t="inlineStr">
        <is>
          <t>Perth - Subiaco 4:2</t>
        </is>
      </c>
      <c r="D34" t="inlineStr">
        <is>
          <t>Australia. Western Australia NPL Women</t>
        </is>
      </c>
      <c r="E34" t="n">
        <v>100</v>
      </c>
      <c r="F34" t="inlineStr">
        <is>
          <t>Perth</t>
        </is>
      </c>
      <c r="G34" t="inlineStr">
        <is>
          <t>4-3-3 (100.0%)</t>
        </is>
      </c>
      <c r="H34" t="n">
        <v>4</v>
      </c>
      <c r="I34" t="n">
        <v>2.31</v>
      </c>
      <c r="J34" t="n">
        <v>14</v>
      </c>
      <c r="K34" t="n">
        <v>7</v>
      </c>
      <c r="L34" t="n">
        <v>50</v>
      </c>
      <c r="M34" t="n">
        <v>476</v>
      </c>
      <c r="N34" t="n">
        <v>364</v>
      </c>
      <c r="O34" t="n">
        <v>76.47</v>
      </c>
      <c r="P34" t="n">
        <v>62.97</v>
      </c>
      <c r="Q34" t="n">
        <v>140</v>
      </c>
      <c r="R34" t="n">
        <v>17</v>
      </c>
      <c r="S34" t="n">
        <v>59</v>
      </c>
      <c r="T34" t="n">
        <v>64</v>
      </c>
      <c r="U34" t="n">
        <v>111</v>
      </c>
      <c r="V34" t="n">
        <v>49</v>
      </c>
      <c r="W34" t="n">
        <v>54</v>
      </c>
      <c r="X34" t="n">
        <v>8</v>
      </c>
      <c r="Y34" t="n">
        <v>248</v>
      </c>
      <c r="Z34" t="n">
        <v>123</v>
      </c>
      <c r="AA34" t="n">
        <v>49.6</v>
      </c>
    </row>
    <row r="35">
      <c r="A35" t="n">
        <v>34</v>
      </c>
      <c r="B35" t="inlineStr">
        <is>
          <t>2026-07-26</t>
        </is>
      </c>
      <c r="C35" t="inlineStr">
        <is>
          <t>Perth - Subiaco 4:2</t>
        </is>
      </c>
      <c r="D35" t="inlineStr">
        <is>
          <t>Australia. Western Australia NPL Women</t>
        </is>
      </c>
      <c r="E35" t="n">
        <v>100</v>
      </c>
      <c r="F35" t="inlineStr">
        <is>
          <t>Subiaco</t>
        </is>
      </c>
      <c r="G35" t="inlineStr">
        <is>
          <t>4-4-2 (100.0%)</t>
        </is>
      </c>
      <c r="H35" t="n">
        <v>2</v>
      </c>
      <c r="I35" t="n">
        <v>1.43</v>
      </c>
      <c r="J35" t="n">
        <v>12</v>
      </c>
      <c r="K35" t="n">
        <v>6</v>
      </c>
      <c r="L35" t="n">
        <v>50</v>
      </c>
      <c r="M35" t="n">
        <v>245</v>
      </c>
      <c r="N35" t="n">
        <v>162</v>
      </c>
      <c r="O35" t="n">
        <v>66.12</v>
      </c>
      <c r="P35" t="n">
        <v>37.03</v>
      </c>
      <c r="Q35" t="n">
        <v>138</v>
      </c>
      <c r="R35" t="n">
        <v>22</v>
      </c>
      <c r="S35" t="n">
        <v>60</v>
      </c>
      <c r="T35" t="n">
        <v>56</v>
      </c>
      <c r="U35" t="n">
        <v>97</v>
      </c>
      <c r="V35" t="n">
        <v>38</v>
      </c>
      <c r="W35" t="n">
        <v>43</v>
      </c>
      <c r="X35" t="n">
        <v>16</v>
      </c>
      <c r="Y35" t="n">
        <v>248</v>
      </c>
      <c r="Z35" t="n">
        <v>118</v>
      </c>
      <c r="AA35" t="n">
        <v>47.58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2026-07-28T07:42:08Z</dcterms:created>
  <dcterms:modified xmlns:dcterms="http://purl.org/dc/terms/" xmlns:xsi="http://www.w3.org/2001/XMLSchema-instance" xsi:type="dcterms:W3CDTF">2026-07-28T07:42:08Z</dcterms:modified>
  <cp:lastModifiedBy>Thalita ziero</cp:lastModifiedBy>
</cp:coreProperties>
</file>