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thali/Desktop/Perth_dashboard/"/>
    </mc:Choice>
  </mc:AlternateContent>
  <xr:revisionPtr revIDLastSave="0" documentId="13_ncr:1_{BECC4CEF-F9F5-DD41-9B2C-4AA3992107E5}" xr6:coauthVersionLast="47" xr6:coauthVersionMax="47" xr10:uidLastSave="{00000000-0000-0000-0000-000000000000}"/>
  <bookViews>
    <workbookView xWindow="-20" yWindow="6360" windowWidth="29400" windowHeight="18460" activeTab="2" xr2:uid="{00000000-000D-0000-FFFF-FFFF00000000}"/>
  </bookViews>
  <sheets>
    <sheet name="WyscoutReport" sheetId="1" r:id="rId1"/>
    <sheet name="TeamStats" sheetId="2" r:id="rId2"/>
    <sheet name="PlayerSta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C3" i="2" l="1"/>
  <c r="CB3" i="2"/>
  <c r="CA3" i="2"/>
  <c r="BZ3" i="2"/>
  <c r="BY3" i="2"/>
  <c r="BX3" i="2"/>
  <c r="BW3" i="2"/>
  <c r="BV3" i="2"/>
  <c r="BU3" i="2"/>
  <c r="BT3" i="2"/>
  <c r="BS3" i="2"/>
  <c r="BR3" i="2"/>
  <c r="BQ3" i="2"/>
  <c r="BP3" i="2"/>
  <c r="BO3" i="2"/>
  <c r="BN3" i="2"/>
  <c r="BM3" i="2"/>
  <c r="BL3" i="2"/>
  <c r="BK3" i="2"/>
  <c r="BJ3" i="2"/>
  <c r="BI3" i="2"/>
  <c r="BH3" i="2"/>
  <c r="BG3" i="2"/>
  <c r="BF3" i="2"/>
  <c r="BE3" i="2"/>
  <c r="BD3" i="2"/>
  <c r="BC3" i="2"/>
  <c r="BB3" i="2"/>
  <c r="BA3" i="2"/>
  <c r="AZ3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CC2" i="2"/>
  <c r="CB2" i="2"/>
  <c r="CA2" i="2"/>
  <c r="BZ2" i="2"/>
  <c r="BY2" i="2"/>
  <c r="BX2" i="2"/>
  <c r="BW2" i="2"/>
  <c r="BV2" i="2"/>
  <c r="BU2" i="2"/>
  <c r="BT2" i="2"/>
  <c r="BS2" i="2"/>
  <c r="BR2" i="2"/>
  <c r="BQ2" i="2"/>
  <c r="BP2" i="2"/>
  <c r="BO2" i="2"/>
  <c r="BN2" i="2"/>
  <c r="BM2" i="2"/>
  <c r="BL2" i="2"/>
  <c r="BK2" i="2"/>
  <c r="BJ2" i="2"/>
  <c r="BI2" i="2"/>
  <c r="BH2" i="2"/>
  <c r="BG2" i="2"/>
  <c r="BF2" i="2"/>
  <c r="BE2" i="2"/>
  <c r="BD2" i="2"/>
  <c r="BC2" i="2"/>
  <c r="BB2" i="2"/>
  <c r="BA2" i="2"/>
  <c r="AZ2" i="2"/>
  <c r="AY2" i="2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</calcChain>
</file>

<file path=xl/sharedStrings.xml><?xml version="1.0" encoding="utf-8"?>
<sst xmlns="http://schemas.openxmlformats.org/spreadsheetml/2006/main" count="846" uniqueCount="478">
  <si>
    <t>PERTH AZZURRI — WYSCOUT REPORT</t>
  </si>
  <si>
    <t>Atualizar: substituir o PDF e rodar  python extract_wyscout.py</t>
  </si>
  <si>
    <t xml:space="preserve">  Pág 2 · Players</t>
  </si>
  <si>
    <t xml:space="preserve">  Pág 3 · Player Stats — General</t>
  </si>
  <si>
    <t xml:space="preserve">  Pág 4 · Player Stats — Passing</t>
  </si>
  <si>
    <t xml:space="preserve">  Pág 5 · Formations</t>
  </si>
  <si>
    <t xml:space="preserve">  Pág 19 · Finishing</t>
  </si>
  <si>
    <t>Date</t>
  </si>
  <si>
    <t>Match</t>
  </si>
  <si>
    <t>Competition</t>
  </si>
  <si>
    <t>Duration</t>
  </si>
  <si>
    <t>Team</t>
  </si>
  <si>
    <t>Scheme</t>
  </si>
  <si>
    <t>Goals</t>
  </si>
  <si>
    <t>xG</t>
  </si>
  <si>
    <t>Shots / on target</t>
  </si>
  <si>
    <t>Passes / accurate</t>
  </si>
  <si>
    <t>Possession, %</t>
  </si>
  <si>
    <t>Losses / Low / Medium / High</t>
  </si>
  <si>
    <t>Recoveries / Low / Medium / High</t>
  </si>
  <si>
    <t>Duels / won</t>
  </si>
  <si>
    <t>Shots from outside penalty area / on target</t>
  </si>
  <si>
    <t>Positional attacks / with shots</t>
  </si>
  <si>
    <t>Set pieces / with shots</t>
  </si>
  <si>
    <t>Corners / with shots</t>
  </si>
  <si>
    <t>Crosses / accurate</t>
  </si>
  <si>
    <t>Deep completed crosses</t>
  </si>
  <si>
    <t>Deep completed passes</t>
  </si>
  <si>
    <t>Touches in penalty area</t>
  </si>
  <si>
    <t>Offensive duels / won</t>
  </si>
  <si>
    <t>Conceded goals</t>
  </si>
  <si>
    <t>Shots against / on target</t>
  </si>
  <si>
    <t>Defensive duels / won</t>
  </si>
  <si>
    <t>Aerial duels / won</t>
  </si>
  <si>
    <t>Sliding tackles / successful</t>
  </si>
  <si>
    <t>Interceptions</t>
  </si>
  <si>
    <t>Clearances</t>
  </si>
  <si>
    <t>Fouls</t>
  </si>
  <si>
    <t>Yellow cards</t>
  </si>
  <si>
    <t>Red cards</t>
  </si>
  <si>
    <t>Forward passes / accurate</t>
  </si>
  <si>
    <t>Long passes / accurate</t>
  </si>
  <si>
    <t>Passes to final third / accurate</t>
  </si>
  <si>
    <t>Progressive passes / accurate</t>
  </si>
  <si>
    <t>Throw ins / accurate</t>
  </si>
  <si>
    <t>PPDA</t>
  </si>
  <si>
    <t>Perth</t>
  </si>
  <si>
    <t>Opponents</t>
  </si>
  <si>
    <t>2026-05-31</t>
  </si>
  <si>
    <t>Perth - Sorrento 3:0</t>
  </si>
  <si>
    <t>Australia. Western Australia NPL Women</t>
  </si>
  <si>
    <t>4-4-2 (100.0%)</t>
  </si>
  <si>
    <t>Sorrento</t>
  </si>
  <si>
    <t>4-5-1 (100.0%)</t>
  </si>
  <si>
    <t>2026-05-24</t>
  </si>
  <si>
    <t>Subiaco - Perth 0:5</t>
  </si>
  <si>
    <t>4-2-3-1 (100.0%)</t>
  </si>
  <si>
    <t>Subiaco</t>
  </si>
  <si>
    <t>4-3-3 (100.0%)</t>
  </si>
  <si>
    <t>2026-05-16</t>
  </si>
  <si>
    <t>West NTC - Perth 0:1</t>
  </si>
  <si>
    <t>4-1-4-1 (100.0%)</t>
  </si>
  <si>
    <t>West NTC</t>
  </si>
  <si>
    <t>2026-05-02</t>
  </si>
  <si>
    <t>Perth - Perth RedStar 1:1</t>
  </si>
  <si>
    <t>Perth RedStar</t>
  </si>
  <si>
    <t>2026-04-26</t>
  </si>
  <si>
    <t>UWA Nedlands - Perth 1:3</t>
  </si>
  <si>
    <t>UWA Nedlands</t>
  </si>
  <si>
    <t>2026-04-17</t>
  </si>
  <si>
    <t>Perth - Balcatta 0:0</t>
  </si>
  <si>
    <t>Balcatta</t>
  </si>
  <si>
    <t>4-4-1-1 (100.0%)</t>
  </si>
  <si>
    <t>2026-04-10</t>
  </si>
  <si>
    <t>Perth - Fremantle City 0:0</t>
  </si>
  <si>
    <t>4-2-3-1 (48.4%)</t>
  </si>
  <si>
    <t>Fremantle City</t>
  </si>
  <si>
    <t>2026-04-06</t>
  </si>
  <si>
    <t>Sorrento - Perth 0:2</t>
  </si>
  <si>
    <t>2026-03-29</t>
  </si>
  <si>
    <t>Perth - Subiaco 2:0</t>
  </si>
  <si>
    <t>4-4-2 (49.52%)</t>
  </si>
  <si>
    <t>2026-03-20</t>
  </si>
  <si>
    <t>Perth - UWA Nedlands 6:0</t>
  </si>
  <si>
    <t>3-5-2 (100.0%)</t>
  </si>
  <si>
    <t>ID</t>
  </si>
  <si>
    <t>PLAYER INFO</t>
  </si>
  <si>
    <t>SEASON SUMMARY</t>
  </si>
  <si>
    <t>KEY RATES</t>
  </si>
  <si>
    <t>DEFENSIVE</t>
  </si>
  <si>
    <t>PIN</t>
  </si>
  <si>
    <t>DUEL DETAILS</t>
  </si>
  <si>
    <t>PASSING DETAILS</t>
  </si>
  <si>
    <t>GOALKEEPER</t>
  </si>
  <si>
    <t>Num</t>
  </si>
  <si>
    <t>Name</t>
  </si>
  <si>
    <t>Position</t>
  </si>
  <si>
    <t>Matches</t>
  </si>
  <si>
    <t>Total Min</t>
  </si>
  <si>
    <t>Avg Min</t>
  </si>
  <si>
    <t>Assists</t>
  </si>
  <si>
    <t>xA</t>
  </si>
  <si>
    <t>Shots %</t>
  </si>
  <si>
    <t>Passes %</t>
  </si>
  <si>
    <t>Crosses %</t>
  </si>
  <si>
    <t>Dribbles</t>
  </si>
  <si>
    <t>Dribbles %</t>
  </si>
  <si>
    <t>Duels</t>
  </si>
  <si>
    <t>Duels %</t>
  </si>
  <si>
    <t>Losses Total</t>
  </si>
  <si>
    <t>Losses Own Half</t>
  </si>
  <si>
    <t>Recoveries</t>
  </si>
  <si>
    <t>Recoveries Opp Half</t>
  </si>
  <si>
    <t>Touches PA</t>
  </si>
  <si>
    <t>Yellow Cards</t>
  </si>
  <si>
    <t>Red Cards</t>
  </si>
  <si>
    <t>Def Duels</t>
  </si>
  <si>
    <t>Def %</t>
  </si>
  <si>
    <t>Off Duels</t>
  </si>
  <si>
    <t>Off %</t>
  </si>
  <si>
    <t>Aerial Duels</t>
  </si>
  <si>
    <t>Aerial %</t>
  </si>
  <si>
    <t>Loose Ball</t>
  </si>
  <si>
    <t>Loose %</t>
  </si>
  <si>
    <t>Blocks</t>
  </si>
  <si>
    <t>Intercept/Clear</t>
  </si>
  <si>
    <t>Tackles</t>
  </si>
  <si>
    <t>Freekicks Won</t>
  </si>
  <si>
    <t>Set Pieces</t>
  </si>
  <si>
    <t>Direct FK/Corners</t>
  </si>
  <si>
    <t>Throw-ins</t>
  </si>
  <si>
    <t>Fwd Passes</t>
  </si>
  <si>
    <t>Fwd %</t>
  </si>
  <si>
    <t>Back Passes</t>
  </si>
  <si>
    <t>Back %</t>
  </si>
  <si>
    <t>Lateral Passes</t>
  </si>
  <si>
    <t>Lateral %</t>
  </si>
  <si>
    <t>Short/Med Passes</t>
  </si>
  <si>
    <t>Short/Med %</t>
  </si>
  <si>
    <t>Long Passes</t>
  </si>
  <si>
    <t>Long %</t>
  </si>
  <si>
    <t>Progressive</t>
  </si>
  <si>
    <t>Progressive %</t>
  </si>
  <si>
    <t>Final Third</t>
  </si>
  <si>
    <t>Final Third %</t>
  </si>
  <si>
    <t>Through Balls</t>
  </si>
  <si>
    <t>Through %</t>
  </si>
  <si>
    <t>Deep Completions</t>
  </si>
  <si>
    <t>Key Passes</t>
  </si>
  <si>
    <t>2nd/3rd Assists</t>
  </si>
  <si>
    <t>Shot Assists</t>
  </si>
  <si>
    <t>Clean Sheets</t>
  </si>
  <si>
    <t>Goals Against</t>
  </si>
  <si>
    <t>D. Schroeder</t>
  </si>
  <si>
    <t>Goalkeeper</t>
  </si>
  <si>
    <t>-</t>
  </si>
  <si>
    <t>E. Ingrey</t>
  </si>
  <si>
    <t>E. Nossent</t>
  </si>
  <si>
    <t>Defender</t>
  </si>
  <si>
    <t>5/2</t>
  </si>
  <si>
    <t>306/223</t>
  </si>
  <si>
    <t>17/2</t>
  </si>
  <si>
    <t>4/2</t>
  </si>
  <si>
    <t>111/67</t>
  </si>
  <si>
    <t>64 / 45</t>
  </si>
  <si>
    <t>70%</t>
  </si>
  <si>
    <t>25 / 9</t>
  </si>
  <si>
    <t>36%</t>
  </si>
  <si>
    <t>11 / 5</t>
  </si>
  <si>
    <t>45%</t>
  </si>
  <si>
    <t>11 / 8</t>
  </si>
  <si>
    <t>73%</t>
  </si>
  <si>
    <t>49 / 19</t>
  </si>
  <si>
    <t>2 / 1</t>
  </si>
  <si>
    <t>141 / 95</t>
  </si>
  <si>
    <t>47 / 44</t>
  </si>
  <si>
    <t>67 / 42</t>
  </si>
  <si>
    <t>251 / 203</t>
  </si>
  <si>
    <t>38 / 18</t>
  </si>
  <si>
    <t>71 / 47</t>
  </si>
  <si>
    <t>62 / 36</t>
  </si>
  <si>
    <t>1 / 0</t>
  </si>
  <si>
    <t>R. Marshall</t>
  </si>
  <si>
    <t>22/9</t>
  </si>
  <si>
    <t>302/210</t>
  </si>
  <si>
    <t>30/5</t>
  </si>
  <si>
    <t>31/16</t>
  </si>
  <si>
    <t>188/90</t>
  </si>
  <si>
    <t>59 / 40</t>
  </si>
  <si>
    <t>68%</t>
  </si>
  <si>
    <t>79 / 29</t>
  </si>
  <si>
    <t>37%</t>
  </si>
  <si>
    <t>22 / 10</t>
  </si>
  <si>
    <t>28 / 11</t>
  </si>
  <si>
    <t>39%</t>
  </si>
  <si>
    <t>26 / 12</t>
  </si>
  <si>
    <t>1 / 1</t>
  </si>
  <si>
    <t>14 / 8</t>
  </si>
  <si>
    <t>97 / 66</t>
  </si>
  <si>
    <t>71 / 63</t>
  </si>
  <si>
    <t>98 / 61</t>
  </si>
  <si>
    <t>239 / 189</t>
  </si>
  <si>
    <t>35 / 17</t>
  </si>
  <si>
    <t>56 / 39</t>
  </si>
  <si>
    <t>47 / 28</t>
  </si>
  <si>
    <t>8 / 4</t>
  </si>
  <si>
    <t>0 / 1</t>
  </si>
  <si>
    <t>A. Ottobrino</t>
  </si>
  <si>
    <t>0/0</t>
  </si>
  <si>
    <t>96/73</t>
  </si>
  <si>
    <t>2/0</t>
  </si>
  <si>
    <t>19/9</t>
  </si>
  <si>
    <t>13 / 9</t>
  </si>
  <si>
    <t>69%</t>
  </si>
  <si>
    <t>2 / 0</t>
  </si>
  <si>
    <t>0%</t>
  </si>
  <si>
    <t>15 / 2</t>
  </si>
  <si>
    <t>42 / 31</t>
  </si>
  <si>
    <t>7 / 7</t>
  </si>
  <si>
    <t>28 / 22</t>
  </si>
  <si>
    <t>84 / 67</t>
  </si>
  <si>
    <t>10 / 6</t>
  </si>
  <si>
    <t>27 / 25</t>
  </si>
  <si>
    <t>21 / 15</t>
  </si>
  <si>
    <t>T. Attree</t>
  </si>
  <si>
    <t>6/2</t>
  </si>
  <si>
    <t>110/64</t>
  </si>
  <si>
    <t>17/5</t>
  </si>
  <si>
    <t>7/5</t>
  </si>
  <si>
    <t>52/30</t>
  </si>
  <si>
    <t>32 / 21</t>
  </si>
  <si>
    <t>66%</t>
  </si>
  <si>
    <t>14 / 7</t>
  </si>
  <si>
    <t>50%</t>
  </si>
  <si>
    <t>2 / 2</t>
  </si>
  <si>
    <t>100%</t>
  </si>
  <si>
    <t>4 / 0</t>
  </si>
  <si>
    <t>15 / 3</t>
  </si>
  <si>
    <t>3 / 0</t>
  </si>
  <si>
    <t>8 / 1</t>
  </si>
  <si>
    <t>2</t>
  </si>
  <si>
    <t>28 / 14</t>
  </si>
  <si>
    <t>24 / 20</t>
  </si>
  <si>
    <t>39 / 18</t>
  </si>
  <si>
    <t>82 / 55</t>
  </si>
  <si>
    <t>13 / 5</t>
  </si>
  <si>
    <t>23 / 17</t>
  </si>
  <si>
    <t>15 / 5</t>
  </si>
  <si>
    <t>K. Mccartney</t>
  </si>
  <si>
    <t>7/4</t>
  </si>
  <si>
    <t>579/502</t>
  </si>
  <si>
    <t>1/0</t>
  </si>
  <si>
    <t>59/35</t>
  </si>
  <si>
    <t>35 / 27</t>
  </si>
  <si>
    <t>77%</t>
  </si>
  <si>
    <t>8 / 0</t>
  </si>
  <si>
    <t>37 / 28</t>
  </si>
  <si>
    <t>238 / 178</t>
  </si>
  <si>
    <t>31 / 30</t>
  </si>
  <si>
    <t>262 / 252</t>
  </si>
  <si>
    <t>474 / 444</t>
  </si>
  <si>
    <t>104 / 58</t>
  </si>
  <si>
    <t>115 / 81</t>
  </si>
  <si>
    <t>77 / 48</t>
  </si>
  <si>
    <t>3 / 2</t>
  </si>
  <si>
    <t>G. Warburton</t>
  </si>
  <si>
    <t>Midfielder</t>
  </si>
  <si>
    <t>7/2</t>
  </si>
  <si>
    <t>283/216</t>
  </si>
  <si>
    <t>5/0</t>
  </si>
  <si>
    <t>146/63</t>
  </si>
  <si>
    <t>65 / 45</t>
  </si>
  <si>
    <t>48 / 8</t>
  </si>
  <si>
    <t>17%</t>
  </si>
  <si>
    <t>13 / 3</t>
  </si>
  <si>
    <t>23%</t>
  </si>
  <si>
    <t>20 / 7</t>
  </si>
  <si>
    <t>35%</t>
  </si>
  <si>
    <t>28 / 8</t>
  </si>
  <si>
    <t>11 / 2</t>
  </si>
  <si>
    <t>82 / 54</t>
  </si>
  <si>
    <t>72 / 66</t>
  </si>
  <si>
    <t>85 / 62</t>
  </si>
  <si>
    <t>259 / 207</t>
  </si>
  <si>
    <t>19 / 9</t>
  </si>
  <si>
    <t>44 / 29</t>
  </si>
  <si>
    <t>41 / 27</t>
  </si>
  <si>
    <t>C. Wainwright</t>
  </si>
  <si>
    <t>4/3</t>
  </si>
  <si>
    <t>169/139</t>
  </si>
  <si>
    <t>2/1</t>
  </si>
  <si>
    <t>6/5</t>
  </si>
  <si>
    <t>81/49</t>
  </si>
  <si>
    <t>36 / 28</t>
  </si>
  <si>
    <t>78%</t>
  </si>
  <si>
    <t>22 / 11</t>
  </si>
  <si>
    <t>12 / 5</t>
  </si>
  <si>
    <t>42%</t>
  </si>
  <si>
    <t>21 / 2</t>
  </si>
  <si>
    <t>4 / 1</t>
  </si>
  <si>
    <t>4 / 3</t>
  </si>
  <si>
    <t>52 / 36</t>
  </si>
  <si>
    <t>36 / 34</t>
  </si>
  <si>
    <t>57 / 50</t>
  </si>
  <si>
    <t>160 / 136</t>
  </si>
  <si>
    <t>7 / 2</t>
  </si>
  <si>
    <t>24 / 18</t>
  </si>
  <si>
    <t>34 / 24</t>
  </si>
  <si>
    <t>D. McAllister</t>
  </si>
  <si>
    <t>13/7</t>
  </si>
  <si>
    <t>221/163</t>
  </si>
  <si>
    <t>16/8</t>
  </si>
  <si>
    <t>92/49</t>
  </si>
  <si>
    <t>28 / 23</t>
  </si>
  <si>
    <t>82%</t>
  </si>
  <si>
    <t>49 / 18</t>
  </si>
  <si>
    <t>3 / 1</t>
  </si>
  <si>
    <t>33%</t>
  </si>
  <si>
    <t>12 / 7</t>
  </si>
  <si>
    <t>58%</t>
  </si>
  <si>
    <t>16 / 1</t>
  </si>
  <si>
    <t>72 / 45</t>
  </si>
  <si>
    <t>52 / 50</t>
  </si>
  <si>
    <t>61 / 44</t>
  </si>
  <si>
    <t>186 / 146</t>
  </si>
  <si>
    <t>23 / 13</t>
  </si>
  <si>
    <t>34 / 25</t>
  </si>
  <si>
    <t>28 / 15</t>
  </si>
  <si>
    <t>M. Archibald</t>
  </si>
  <si>
    <t>23/10</t>
  </si>
  <si>
    <t>324/227</t>
  </si>
  <si>
    <t>12/4</t>
  </si>
  <si>
    <t>14/8</t>
  </si>
  <si>
    <t>164/89</t>
  </si>
  <si>
    <t>70 / 55</t>
  </si>
  <si>
    <t>79%</t>
  </si>
  <si>
    <t>57 / 17</t>
  </si>
  <si>
    <t>30%</t>
  </si>
  <si>
    <t>10 / 3</t>
  </si>
  <si>
    <t>27 / 14</t>
  </si>
  <si>
    <t>52%</t>
  </si>
  <si>
    <t>35 / 9</t>
  </si>
  <si>
    <t>11 / 4</t>
  </si>
  <si>
    <t>9</t>
  </si>
  <si>
    <t>113 / 64</t>
  </si>
  <si>
    <t>73 / 65</t>
  </si>
  <si>
    <t>66 / 48</t>
  </si>
  <si>
    <t>280 / 215</t>
  </si>
  <si>
    <t>32 / 8</t>
  </si>
  <si>
    <t>50 / 37</t>
  </si>
  <si>
    <t>64 / 36</t>
  </si>
  <si>
    <t>M. Boehm</t>
  </si>
  <si>
    <t>13/3</t>
  </si>
  <si>
    <t>447/327</t>
  </si>
  <si>
    <t>13/10</t>
  </si>
  <si>
    <t>144/98</t>
  </si>
  <si>
    <t>68 / 58</t>
  </si>
  <si>
    <t>85%</t>
  </si>
  <si>
    <t>45 / 23</t>
  </si>
  <si>
    <t>51%</t>
  </si>
  <si>
    <t>17 / 8</t>
  </si>
  <si>
    <t>47%</t>
  </si>
  <si>
    <t>14 / 9</t>
  </si>
  <si>
    <t>64%</t>
  </si>
  <si>
    <t>62 / 33</t>
  </si>
  <si>
    <t>3 / 5</t>
  </si>
  <si>
    <t>244 / 154</t>
  </si>
  <si>
    <t>26 / 24</t>
  </si>
  <si>
    <t>136 / 115</t>
  </si>
  <si>
    <t>361 / 296</t>
  </si>
  <si>
    <t>80 / 29</t>
  </si>
  <si>
    <t>115 / 74</t>
  </si>
  <si>
    <t>86 / 47</t>
  </si>
  <si>
    <t>9 / 3</t>
  </si>
  <si>
    <t>X. Dalton</t>
  </si>
  <si>
    <t>Attacker</t>
  </si>
  <si>
    <t>67/47</t>
  </si>
  <si>
    <t>8/4</t>
  </si>
  <si>
    <t>45/25</t>
  </si>
  <si>
    <t>14 / 12</t>
  </si>
  <si>
    <t>86%</t>
  </si>
  <si>
    <t>18 / 8</t>
  </si>
  <si>
    <t>44%</t>
  </si>
  <si>
    <t>67%</t>
  </si>
  <si>
    <t>6 / 0</t>
  </si>
  <si>
    <t>28 / 20</t>
  </si>
  <si>
    <t>16 / 13</t>
  </si>
  <si>
    <t>59 / 44</t>
  </si>
  <si>
    <t>7 / 6</t>
  </si>
  <si>
    <t>L. Tana</t>
  </si>
  <si>
    <t>507/438</t>
  </si>
  <si>
    <t>10/2</t>
  </si>
  <si>
    <t>15/11</t>
  </si>
  <si>
    <t>179/107</t>
  </si>
  <si>
    <t>114 / 78</t>
  </si>
  <si>
    <t>43 / 21</t>
  </si>
  <si>
    <t>49%</t>
  </si>
  <si>
    <t>14 / 4</t>
  </si>
  <si>
    <t>29%</t>
  </si>
  <si>
    <t>74 / 11</t>
  </si>
  <si>
    <t>11 / 7</t>
  </si>
  <si>
    <t>208 / 166</t>
  </si>
  <si>
    <t>86 / 78</t>
  </si>
  <si>
    <t>139 / 126</t>
  </si>
  <si>
    <t>482 / 429</t>
  </si>
  <si>
    <t>15 / 7</t>
  </si>
  <si>
    <t>89 / 65</t>
  </si>
  <si>
    <t>55 / 42</t>
  </si>
  <si>
    <t>A. Zindell</t>
  </si>
  <si>
    <t>13/9</t>
  </si>
  <si>
    <t>5 / 0</t>
  </si>
  <si>
    <t>6 / 5</t>
  </si>
  <si>
    <t>12 / 9</t>
  </si>
  <si>
    <t>S. Mathers</t>
  </si>
  <si>
    <t>9/3</t>
  </si>
  <si>
    <t>399/306</t>
  </si>
  <si>
    <t>11/6</t>
  </si>
  <si>
    <t>132/68</t>
  </si>
  <si>
    <t>41 / 11</t>
  </si>
  <si>
    <t>27%</t>
  </si>
  <si>
    <t>16 / 10</t>
  </si>
  <si>
    <t>63%</t>
  </si>
  <si>
    <t>18%</t>
  </si>
  <si>
    <t>45 / 12</t>
  </si>
  <si>
    <t>26</t>
  </si>
  <si>
    <t>159 / 97</t>
  </si>
  <si>
    <t>82 / 79</t>
  </si>
  <si>
    <t>106 / 93</t>
  </si>
  <si>
    <t>354 / 287</t>
  </si>
  <si>
    <t>39 / 17</t>
  </si>
  <si>
    <t>81 / 51</t>
  </si>
  <si>
    <t>J. Flannery</t>
  </si>
  <si>
    <t>40/19</t>
  </si>
  <si>
    <t>422/273</t>
  </si>
  <si>
    <t>56/16</t>
  </si>
  <si>
    <t>61/33</t>
  </si>
  <si>
    <t>240/106</t>
  </si>
  <si>
    <t>46 / 35</t>
  </si>
  <si>
    <t>76%</t>
  </si>
  <si>
    <t>146 / 52</t>
  </si>
  <si>
    <t>18 / 7</t>
  </si>
  <si>
    <t>30 / 12</t>
  </si>
  <si>
    <t>40%</t>
  </si>
  <si>
    <t>42 / 6</t>
  </si>
  <si>
    <t>3 / 3</t>
  </si>
  <si>
    <t>25</t>
  </si>
  <si>
    <t>112 / 59</t>
  </si>
  <si>
    <t>97 / 87</t>
  </si>
  <si>
    <t>146 / 84</t>
  </si>
  <si>
    <t>321 / 236</t>
  </si>
  <si>
    <t>45 / 21</t>
  </si>
  <si>
    <t>89 / 61</t>
  </si>
  <si>
    <t>47 / 23</t>
  </si>
  <si>
    <t>M. Mccready</t>
  </si>
  <si>
    <t>4/1</t>
  </si>
  <si>
    <t>120/85</t>
  </si>
  <si>
    <t>7/3</t>
  </si>
  <si>
    <t>65/36</t>
  </si>
  <si>
    <t>26 / 20</t>
  </si>
  <si>
    <t>8 / 3</t>
  </si>
  <si>
    <t>38%</t>
  </si>
  <si>
    <t>9 / 1</t>
  </si>
  <si>
    <t>1 / 2</t>
  </si>
  <si>
    <t>35 / 19</t>
  </si>
  <si>
    <t>29 / 26</t>
  </si>
  <si>
    <t>36 / 23</t>
  </si>
  <si>
    <t>106 / 80</t>
  </si>
  <si>
    <t>10 / 4</t>
  </si>
  <si>
    <t>15 / 14</t>
  </si>
  <si>
    <t>17 / 7</t>
  </si>
  <si>
    <t>L. Continibali</t>
  </si>
  <si>
    <t>3/1</t>
  </si>
  <si>
    <t>4 / 2</t>
  </si>
  <si>
    <t>12 / 10</t>
  </si>
  <si>
    <t>Fouls Suffered</t>
  </si>
  <si>
    <t>Shots/ ON Target</t>
  </si>
  <si>
    <t>Passes/ Accurate</t>
  </si>
  <si>
    <t>Crosses/ Accurate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</si>
</sst>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name val="Arial"/>
      <family val="1"/>
    </font>
    <font>
      <b/>
      <sz val="9"/>
      <color rgb="FFFFFFFF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i/>
      <sz val="9"/>
      <color rgb="FF666666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6284F"/>
      </patternFill>
    </fill>
    <fill>
      <patternFill patternType="solid">
        <fgColor rgb="FF009246"/>
      </patternFill>
    </fill>
    <fill>
      <patternFill patternType="solid">
        <fgColor rgb="FF1A3A6E"/>
      </patternFill>
    </fill>
    <fill>
      <patternFill patternType="solid">
        <fgColor rgb="FFCE2B37"/>
      </patternFill>
    </fill>
    <fill>
      <patternFill patternType="solid">
        <fgColor rgb="FF555555"/>
      </patternFill>
    </fill>
    <fill>
      <patternFill patternType="solid">
        <fgColor rgb="FF0C4A2E"/>
      </patternFill>
    </fill>
    <fill>
      <patternFill patternType="solid">
        <fgColor rgb="FF444444"/>
      </patternFill>
    </fill>
    <fill>
      <patternFill patternType="solid">
        <fgColor rgb="FFDDEEFF"/>
      </patternFill>
    </fill>
    <fill>
      <patternFill patternType="solid">
        <fgColor rgb="FFE8F5E9"/>
      </patternFill>
    </fill>
    <fill>
      <patternFill patternType="solid">
        <fgColor rgb="FFFFF9E6"/>
      </patternFill>
    </fill>
    <fill>
      <patternFill patternType="solid">
        <fgColor rgb="FFFFE8E8"/>
      </patternFill>
    </fill>
    <fill>
      <patternFill patternType="solid">
        <fgColor rgb="FFEEF0F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0">
    <xf numFmtId="0" fontId="0" fillId="0" borderId="0" xfId="0"/>
    <xf numFmtId="2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right" vertical="center"/>
    </xf>
    <xf numFmtId="0" fontId="3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right" vertical="center"/>
    </xf>
    <xf numFmtId="0" fontId="3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right" vertical="center"/>
    </xf>
    <xf numFmtId="0" fontId="3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right" vertical="center"/>
    </xf>
    <xf numFmtId="0" fontId="3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left" vertical="center"/>
    </xf>
    <xf numFmtId="0" fontId="0" fillId="0" borderId="0" xfId="0"/>
    <xf numFmtId="0" fontId="6" fillId="13" borderId="0" xfId="0" applyFont="1" applyFill="1" applyAlignment="1">
      <alignment horizontal="left" vertical="center" indent="1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10001250" cy="141351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82</xdr:row>
      <xdr:rowOff>0</xdr:rowOff>
    </xdr:from>
    <xdr:ext cx="10001250" cy="141351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160</xdr:row>
      <xdr:rowOff>0</xdr:rowOff>
    </xdr:from>
    <xdr:ext cx="10001250" cy="141351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238</xdr:row>
      <xdr:rowOff>0</xdr:rowOff>
    </xdr:from>
    <xdr:ext cx="10001250" cy="1413510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316</xdr:row>
      <xdr:rowOff>0</xdr:rowOff>
    </xdr:from>
    <xdr:ext cx="10001250" cy="14135100"/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91"/>
  <sheetViews>
    <sheetView workbookViewId="0">
      <selection sqref="A1:B1"/>
    </sheetView>
  </sheetViews>
  <sheetFormatPr baseColWidth="10" defaultColWidth="8.83203125" defaultRowHeight="14" x14ac:dyDescent="0.15"/>
  <cols>
    <col min="1" max="1" width="4" customWidth="1"/>
    <col min="2" max="2" width="145" customWidth="1"/>
  </cols>
  <sheetData>
    <row r="1" spans="1:2" ht="36" customHeight="1" x14ac:dyDescent="0.15">
      <c r="A1" s="23" t="s">
        <v>0</v>
      </c>
      <c r="B1" s="21"/>
    </row>
    <row r="2" spans="1:2" ht="18" customHeight="1" x14ac:dyDescent="0.15">
      <c r="A2" s="22" t="s">
        <v>1</v>
      </c>
      <c r="B2" s="21"/>
    </row>
    <row r="4" spans="1:2" ht="22" customHeight="1" x14ac:dyDescent="0.15">
      <c r="A4" s="20" t="s">
        <v>2</v>
      </c>
      <c r="B4" s="21"/>
    </row>
    <row r="5" spans="1:2" ht="15" customHeight="1" x14ac:dyDescent="0.15"/>
    <row r="6" spans="1:2" ht="15" customHeight="1" x14ac:dyDescent="0.15"/>
    <row r="7" spans="1:2" ht="15" customHeight="1" x14ac:dyDescent="0.15"/>
    <row r="8" spans="1:2" ht="15" customHeight="1" x14ac:dyDescent="0.15"/>
    <row r="9" spans="1:2" ht="15" customHeight="1" x14ac:dyDescent="0.15"/>
    <row r="10" spans="1:2" ht="15" customHeight="1" x14ac:dyDescent="0.15"/>
    <row r="11" spans="1:2" ht="15" customHeight="1" x14ac:dyDescent="0.15"/>
    <row r="12" spans="1:2" ht="15" customHeight="1" x14ac:dyDescent="0.15"/>
    <row r="13" spans="1:2" ht="15" customHeight="1" x14ac:dyDescent="0.15"/>
    <row r="14" spans="1:2" ht="15" customHeight="1" x14ac:dyDescent="0.15"/>
    <row r="15" spans="1:2" ht="15" customHeight="1" x14ac:dyDescent="0.15"/>
    <row r="16" spans="1:2" ht="15" customHeight="1" x14ac:dyDescent="0.15"/>
    <row r="17" ht="15" customHeight="1" x14ac:dyDescent="0.15"/>
    <row r="18" ht="15" customHeight="1" x14ac:dyDescent="0.15"/>
    <row r="19" ht="15" customHeight="1" x14ac:dyDescent="0.15"/>
    <row r="20" ht="15" customHeight="1" x14ac:dyDescent="0.15"/>
    <row r="21" ht="15" customHeight="1" x14ac:dyDescent="0.15"/>
    <row r="22" ht="15" customHeight="1" x14ac:dyDescent="0.15"/>
    <row r="23" ht="15" customHeight="1" x14ac:dyDescent="0.15"/>
    <row r="24" ht="15" customHeight="1" x14ac:dyDescent="0.15"/>
    <row r="25" ht="15" customHeight="1" x14ac:dyDescent="0.15"/>
    <row r="26" ht="15" customHeight="1" x14ac:dyDescent="0.15"/>
    <row r="27" ht="15" customHeight="1" x14ac:dyDescent="0.15"/>
    <row r="28" ht="15" customHeight="1" x14ac:dyDescent="0.15"/>
    <row r="29" ht="15" customHeight="1" x14ac:dyDescent="0.15"/>
    <row r="30" ht="15" customHeight="1" x14ac:dyDescent="0.15"/>
    <row r="31" ht="15" customHeight="1" x14ac:dyDescent="0.15"/>
    <row r="32" ht="15" customHeight="1" x14ac:dyDescent="0.15"/>
    <row r="33" ht="15" customHeight="1" x14ac:dyDescent="0.15"/>
    <row r="34" ht="15" customHeight="1" x14ac:dyDescent="0.15"/>
    <row r="35" ht="15" customHeight="1" x14ac:dyDescent="0.15"/>
    <row r="36" ht="15" customHeight="1" x14ac:dyDescent="0.15"/>
    <row r="37" ht="15" customHeight="1" x14ac:dyDescent="0.15"/>
    <row r="38" ht="15" customHeight="1" x14ac:dyDescent="0.15"/>
    <row r="39" ht="15" customHeight="1" x14ac:dyDescent="0.15"/>
    <row r="40" ht="15" customHeight="1" x14ac:dyDescent="0.15"/>
    <row r="41" ht="15" customHeight="1" x14ac:dyDescent="0.15"/>
    <row r="42" ht="15" customHeight="1" x14ac:dyDescent="0.15"/>
    <row r="43" ht="15" customHeight="1" x14ac:dyDescent="0.15"/>
    <row r="44" ht="15" customHeight="1" x14ac:dyDescent="0.15"/>
    <row r="45" ht="15" customHeight="1" x14ac:dyDescent="0.15"/>
    <row r="46" ht="15" customHeight="1" x14ac:dyDescent="0.15"/>
    <row r="47" ht="15" customHeight="1" x14ac:dyDescent="0.15"/>
    <row r="48" ht="15" customHeight="1" x14ac:dyDescent="0.15"/>
    <row r="49" ht="15" customHeight="1" x14ac:dyDescent="0.15"/>
    <row r="50" ht="15" customHeight="1" x14ac:dyDescent="0.15"/>
    <row r="51" ht="15" customHeight="1" x14ac:dyDescent="0.15"/>
    <row r="52" ht="15" customHeight="1" x14ac:dyDescent="0.15"/>
    <row r="53" ht="15" customHeight="1" x14ac:dyDescent="0.15"/>
    <row r="54" ht="15" customHeight="1" x14ac:dyDescent="0.15"/>
    <row r="55" ht="15" customHeight="1" x14ac:dyDescent="0.15"/>
    <row r="56" ht="15" customHeight="1" x14ac:dyDescent="0.15"/>
    <row r="57" ht="15" customHeight="1" x14ac:dyDescent="0.15"/>
    <row r="58" ht="15" customHeight="1" x14ac:dyDescent="0.15"/>
    <row r="59" ht="15" customHeight="1" x14ac:dyDescent="0.15"/>
    <row r="60" ht="15" customHeight="1" x14ac:dyDescent="0.15"/>
    <row r="61" ht="15" customHeight="1" x14ac:dyDescent="0.15"/>
    <row r="62" ht="15" customHeight="1" x14ac:dyDescent="0.15"/>
    <row r="63" ht="15" customHeight="1" x14ac:dyDescent="0.15"/>
    <row r="64" ht="15" customHeight="1" x14ac:dyDescent="0.15"/>
    <row r="65" ht="15" customHeight="1" x14ac:dyDescent="0.15"/>
    <row r="66" ht="15" customHeight="1" x14ac:dyDescent="0.15"/>
    <row r="67" ht="15" customHeight="1" x14ac:dyDescent="0.15"/>
    <row r="68" ht="15" customHeight="1" x14ac:dyDescent="0.15"/>
    <row r="69" ht="15" customHeight="1" x14ac:dyDescent="0.15"/>
    <row r="70" ht="15" customHeight="1" x14ac:dyDescent="0.15"/>
    <row r="71" ht="15" customHeight="1" x14ac:dyDescent="0.15"/>
    <row r="72" ht="15" customHeight="1" x14ac:dyDescent="0.15"/>
    <row r="73" ht="15" customHeight="1" x14ac:dyDescent="0.15"/>
    <row r="74" ht="15" customHeight="1" x14ac:dyDescent="0.15"/>
    <row r="75" ht="15" customHeight="1" x14ac:dyDescent="0.15"/>
    <row r="76" ht="15" customHeight="1" x14ac:dyDescent="0.15"/>
    <row r="77" ht="15" customHeight="1" x14ac:dyDescent="0.15"/>
    <row r="78" ht="15" customHeight="1" x14ac:dyDescent="0.15"/>
    <row r="79" ht="15" customHeight="1" x14ac:dyDescent="0.15"/>
    <row r="82" spans="1:2" ht="22" customHeight="1" x14ac:dyDescent="0.15">
      <c r="A82" s="20" t="s">
        <v>3</v>
      </c>
      <c r="B82" s="21"/>
    </row>
    <row r="83" spans="1:2" ht="15" customHeight="1" x14ac:dyDescent="0.15"/>
    <row r="84" spans="1:2" ht="15" customHeight="1" x14ac:dyDescent="0.15"/>
    <row r="85" spans="1:2" ht="15" customHeight="1" x14ac:dyDescent="0.15"/>
    <row r="86" spans="1:2" ht="15" customHeight="1" x14ac:dyDescent="0.15"/>
    <row r="87" spans="1:2" ht="15" customHeight="1" x14ac:dyDescent="0.15"/>
    <row r="88" spans="1:2" ht="15" customHeight="1" x14ac:dyDescent="0.15"/>
    <row r="89" spans="1:2" ht="15" customHeight="1" x14ac:dyDescent="0.15"/>
    <row r="90" spans="1:2" ht="15" customHeight="1" x14ac:dyDescent="0.15"/>
    <row r="91" spans="1:2" ht="15" customHeight="1" x14ac:dyDescent="0.15"/>
    <row r="92" spans="1:2" ht="15" customHeight="1" x14ac:dyDescent="0.15"/>
    <row r="93" spans="1:2" ht="15" customHeight="1" x14ac:dyDescent="0.15"/>
    <row r="94" spans="1:2" ht="15" customHeight="1" x14ac:dyDescent="0.15"/>
    <row r="95" spans="1:2" ht="15" customHeight="1" x14ac:dyDescent="0.15"/>
    <row r="96" spans="1:2" ht="15" customHeight="1" x14ac:dyDescent="0.15"/>
    <row r="97" ht="15" customHeight="1" x14ac:dyDescent="0.15"/>
    <row r="98" ht="15" customHeight="1" x14ac:dyDescent="0.15"/>
    <row r="99" ht="15" customHeight="1" x14ac:dyDescent="0.15"/>
    <row r="100" ht="15" customHeight="1" x14ac:dyDescent="0.15"/>
    <row r="101" ht="15" customHeight="1" x14ac:dyDescent="0.15"/>
    <row r="102" ht="15" customHeight="1" x14ac:dyDescent="0.15"/>
    <row r="103" ht="15" customHeight="1" x14ac:dyDescent="0.15"/>
    <row r="104" ht="15" customHeight="1" x14ac:dyDescent="0.15"/>
    <row r="105" ht="15" customHeight="1" x14ac:dyDescent="0.15"/>
    <row r="106" ht="15" customHeight="1" x14ac:dyDescent="0.15"/>
    <row r="107" ht="15" customHeight="1" x14ac:dyDescent="0.15"/>
    <row r="108" ht="15" customHeight="1" x14ac:dyDescent="0.15"/>
    <row r="109" ht="15" customHeight="1" x14ac:dyDescent="0.15"/>
    <row r="110" ht="15" customHeight="1" x14ac:dyDescent="0.15"/>
    <row r="111" ht="15" customHeight="1" x14ac:dyDescent="0.15"/>
    <row r="112" ht="15" customHeight="1" x14ac:dyDescent="0.15"/>
    <row r="113" ht="15" customHeight="1" x14ac:dyDescent="0.15"/>
    <row r="114" ht="15" customHeight="1" x14ac:dyDescent="0.15"/>
    <row r="115" ht="15" customHeight="1" x14ac:dyDescent="0.15"/>
    <row r="116" ht="15" customHeight="1" x14ac:dyDescent="0.15"/>
    <row r="117" ht="15" customHeight="1" x14ac:dyDescent="0.15"/>
    <row r="118" ht="15" customHeight="1" x14ac:dyDescent="0.15"/>
    <row r="119" ht="15" customHeight="1" x14ac:dyDescent="0.15"/>
    <row r="120" ht="15" customHeight="1" x14ac:dyDescent="0.15"/>
    <row r="121" ht="15" customHeight="1" x14ac:dyDescent="0.15"/>
    <row r="122" ht="15" customHeight="1" x14ac:dyDescent="0.15"/>
    <row r="123" ht="15" customHeight="1" x14ac:dyDescent="0.15"/>
    <row r="124" ht="15" customHeight="1" x14ac:dyDescent="0.15"/>
    <row r="125" ht="15" customHeight="1" x14ac:dyDescent="0.15"/>
    <row r="126" ht="15" customHeight="1" x14ac:dyDescent="0.15"/>
    <row r="127" ht="15" customHeight="1" x14ac:dyDescent="0.15"/>
    <row r="128" ht="15" customHeight="1" x14ac:dyDescent="0.15"/>
    <row r="129" ht="15" customHeight="1" x14ac:dyDescent="0.15"/>
    <row r="130" ht="15" customHeight="1" x14ac:dyDescent="0.15"/>
    <row r="131" ht="15" customHeight="1" x14ac:dyDescent="0.15"/>
    <row r="132" ht="15" customHeight="1" x14ac:dyDescent="0.15"/>
    <row r="133" ht="15" customHeight="1" x14ac:dyDescent="0.15"/>
    <row r="134" ht="15" customHeight="1" x14ac:dyDescent="0.15"/>
    <row r="135" ht="15" customHeight="1" x14ac:dyDescent="0.15"/>
    <row r="136" ht="15" customHeight="1" x14ac:dyDescent="0.15"/>
    <row r="137" ht="15" customHeight="1" x14ac:dyDescent="0.15"/>
    <row r="138" ht="15" customHeight="1" x14ac:dyDescent="0.15"/>
    <row r="139" ht="15" customHeight="1" x14ac:dyDescent="0.15"/>
    <row r="140" ht="15" customHeight="1" x14ac:dyDescent="0.15"/>
    <row r="141" ht="15" customHeight="1" x14ac:dyDescent="0.15"/>
    <row r="142" ht="15" customHeight="1" x14ac:dyDescent="0.15"/>
    <row r="143" ht="15" customHeight="1" x14ac:dyDescent="0.15"/>
    <row r="144" ht="15" customHeight="1" x14ac:dyDescent="0.15"/>
    <row r="145" spans="1:2" ht="15" customHeight="1" x14ac:dyDescent="0.15"/>
    <row r="146" spans="1:2" ht="15" customHeight="1" x14ac:dyDescent="0.15"/>
    <row r="147" spans="1:2" ht="15" customHeight="1" x14ac:dyDescent="0.15"/>
    <row r="148" spans="1:2" ht="15" customHeight="1" x14ac:dyDescent="0.15"/>
    <row r="149" spans="1:2" ht="15" customHeight="1" x14ac:dyDescent="0.15"/>
    <row r="150" spans="1:2" ht="15" customHeight="1" x14ac:dyDescent="0.15"/>
    <row r="151" spans="1:2" ht="15" customHeight="1" x14ac:dyDescent="0.15"/>
    <row r="152" spans="1:2" ht="15" customHeight="1" x14ac:dyDescent="0.15"/>
    <row r="153" spans="1:2" ht="15" customHeight="1" x14ac:dyDescent="0.15"/>
    <row r="154" spans="1:2" ht="15" customHeight="1" x14ac:dyDescent="0.15"/>
    <row r="155" spans="1:2" ht="15" customHeight="1" x14ac:dyDescent="0.15"/>
    <row r="156" spans="1:2" ht="15" customHeight="1" x14ac:dyDescent="0.15"/>
    <row r="157" spans="1:2" ht="15" customHeight="1" x14ac:dyDescent="0.15"/>
    <row r="160" spans="1:2" ht="22" customHeight="1" x14ac:dyDescent="0.15">
      <c r="A160" s="20" t="s">
        <v>4</v>
      </c>
      <c r="B160" s="21"/>
    </row>
    <row r="161" ht="15" customHeight="1" x14ac:dyDescent="0.15"/>
    <row r="162" ht="15" customHeight="1" x14ac:dyDescent="0.15"/>
    <row r="163" ht="15" customHeight="1" x14ac:dyDescent="0.15"/>
    <row r="164" ht="15" customHeight="1" x14ac:dyDescent="0.15"/>
    <row r="165" ht="15" customHeight="1" x14ac:dyDescent="0.15"/>
    <row r="166" ht="15" customHeight="1" x14ac:dyDescent="0.15"/>
    <row r="167" ht="15" customHeight="1" x14ac:dyDescent="0.15"/>
    <row r="168" ht="15" customHeight="1" x14ac:dyDescent="0.15"/>
    <row r="169" ht="15" customHeight="1" x14ac:dyDescent="0.15"/>
    <row r="170" ht="15" customHeight="1" x14ac:dyDescent="0.15"/>
    <row r="171" ht="15" customHeight="1" x14ac:dyDescent="0.15"/>
    <row r="172" ht="15" customHeight="1" x14ac:dyDescent="0.15"/>
    <row r="173" ht="15" customHeight="1" x14ac:dyDescent="0.15"/>
    <row r="174" ht="15" customHeight="1" x14ac:dyDescent="0.15"/>
    <row r="175" ht="15" customHeight="1" x14ac:dyDescent="0.15"/>
    <row r="176" ht="15" customHeight="1" x14ac:dyDescent="0.15"/>
    <row r="177" ht="15" customHeight="1" x14ac:dyDescent="0.15"/>
    <row r="178" ht="15" customHeight="1" x14ac:dyDescent="0.15"/>
    <row r="179" ht="15" customHeight="1" x14ac:dyDescent="0.15"/>
    <row r="180" ht="15" customHeight="1" x14ac:dyDescent="0.15"/>
    <row r="181" ht="15" customHeight="1" x14ac:dyDescent="0.15"/>
    <row r="182" ht="15" customHeight="1" x14ac:dyDescent="0.15"/>
    <row r="183" ht="15" customHeight="1" x14ac:dyDescent="0.15"/>
    <row r="184" ht="15" customHeight="1" x14ac:dyDescent="0.15"/>
    <row r="185" ht="15" customHeight="1" x14ac:dyDescent="0.15"/>
    <row r="186" ht="15" customHeight="1" x14ac:dyDescent="0.15"/>
    <row r="187" ht="15" customHeight="1" x14ac:dyDescent="0.15"/>
    <row r="188" ht="15" customHeight="1" x14ac:dyDescent="0.15"/>
    <row r="189" ht="15" customHeight="1" x14ac:dyDescent="0.15"/>
    <row r="190" ht="15" customHeight="1" x14ac:dyDescent="0.15"/>
    <row r="191" ht="15" customHeight="1" x14ac:dyDescent="0.15"/>
    <row r="192" ht="15" customHeight="1" x14ac:dyDescent="0.15"/>
    <row r="193" ht="15" customHeight="1" x14ac:dyDescent="0.15"/>
    <row r="194" ht="15" customHeight="1" x14ac:dyDescent="0.15"/>
    <row r="195" ht="15" customHeight="1" x14ac:dyDescent="0.15"/>
    <row r="196" ht="15" customHeight="1" x14ac:dyDescent="0.15"/>
    <row r="197" ht="15" customHeight="1" x14ac:dyDescent="0.15"/>
    <row r="198" ht="15" customHeight="1" x14ac:dyDescent="0.15"/>
    <row r="199" ht="15" customHeight="1" x14ac:dyDescent="0.15"/>
    <row r="200" ht="15" customHeight="1" x14ac:dyDescent="0.15"/>
    <row r="201" ht="15" customHeight="1" x14ac:dyDescent="0.15"/>
    <row r="202" ht="15" customHeight="1" x14ac:dyDescent="0.15"/>
    <row r="203" ht="15" customHeight="1" x14ac:dyDescent="0.15"/>
    <row r="204" ht="15" customHeight="1" x14ac:dyDescent="0.15"/>
    <row r="205" ht="15" customHeight="1" x14ac:dyDescent="0.15"/>
    <row r="206" ht="15" customHeight="1" x14ac:dyDescent="0.15"/>
    <row r="207" ht="15" customHeight="1" x14ac:dyDescent="0.15"/>
    <row r="208" ht="15" customHeight="1" x14ac:dyDescent="0.15"/>
    <row r="209" ht="15" customHeight="1" x14ac:dyDescent="0.15"/>
    <row r="210" ht="15" customHeight="1" x14ac:dyDescent="0.15"/>
    <row r="211" ht="15" customHeight="1" x14ac:dyDescent="0.15"/>
    <row r="212" ht="15" customHeight="1" x14ac:dyDescent="0.15"/>
    <row r="213" ht="15" customHeight="1" x14ac:dyDescent="0.15"/>
    <row r="214" ht="15" customHeight="1" x14ac:dyDescent="0.15"/>
    <row r="215" ht="15" customHeight="1" x14ac:dyDescent="0.15"/>
    <row r="216" ht="15" customHeight="1" x14ac:dyDescent="0.15"/>
    <row r="217" ht="15" customHeight="1" x14ac:dyDescent="0.15"/>
    <row r="218" ht="15" customHeight="1" x14ac:dyDescent="0.15"/>
    <row r="219" ht="15" customHeight="1" x14ac:dyDescent="0.15"/>
    <row r="220" ht="15" customHeight="1" x14ac:dyDescent="0.15"/>
    <row r="221" ht="15" customHeight="1" x14ac:dyDescent="0.15"/>
    <row r="222" ht="15" customHeight="1" x14ac:dyDescent="0.15"/>
    <row r="223" ht="15" customHeight="1" x14ac:dyDescent="0.15"/>
    <row r="224" ht="15" customHeight="1" x14ac:dyDescent="0.15"/>
    <row r="225" spans="1:2" ht="15" customHeight="1" x14ac:dyDescent="0.15"/>
    <row r="226" spans="1:2" ht="15" customHeight="1" x14ac:dyDescent="0.15"/>
    <row r="227" spans="1:2" ht="15" customHeight="1" x14ac:dyDescent="0.15"/>
    <row r="228" spans="1:2" ht="15" customHeight="1" x14ac:dyDescent="0.15"/>
    <row r="229" spans="1:2" ht="15" customHeight="1" x14ac:dyDescent="0.15"/>
    <row r="230" spans="1:2" ht="15" customHeight="1" x14ac:dyDescent="0.15"/>
    <row r="231" spans="1:2" ht="15" customHeight="1" x14ac:dyDescent="0.15"/>
    <row r="232" spans="1:2" ht="15" customHeight="1" x14ac:dyDescent="0.15"/>
    <row r="233" spans="1:2" ht="15" customHeight="1" x14ac:dyDescent="0.15"/>
    <row r="234" spans="1:2" ht="15" customHeight="1" x14ac:dyDescent="0.15"/>
    <row r="235" spans="1:2" ht="15" customHeight="1" x14ac:dyDescent="0.15"/>
    <row r="238" spans="1:2" ht="22" customHeight="1" x14ac:dyDescent="0.15">
      <c r="A238" s="20" t="s">
        <v>5</v>
      </c>
      <c r="B238" s="21"/>
    </row>
    <row r="239" spans="1:2" ht="15" customHeight="1" x14ac:dyDescent="0.15"/>
    <row r="240" spans="1:2" ht="15" customHeight="1" x14ac:dyDescent="0.15"/>
    <row r="241" ht="15" customHeight="1" x14ac:dyDescent="0.15"/>
    <row r="242" ht="15" customHeight="1" x14ac:dyDescent="0.15"/>
    <row r="243" ht="15" customHeight="1" x14ac:dyDescent="0.15"/>
    <row r="244" ht="15" customHeight="1" x14ac:dyDescent="0.15"/>
    <row r="245" ht="15" customHeight="1" x14ac:dyDescent="0.15"/>
    <row r="246" ht="15" customHeight="1" x14ac:dyDescent="0.15"/>
    <row r="247" ht="15" customHeight="1" x14ac:dyDescent="0.15"/>
    <row r="248" ht="15" customHeight="1" x14ac:dyDescent="0.15"/>
    <row r="249" ht="15" customHeight="1" x14ac:dyDescent="0.15"/>
    <row r="250" ht="15" customHeight="1" x14ac:dyDescent="0.15"/>
    <row r="251" ht="15" customHeight="1" x14ac:dyDescent="0.15"/>
    <row r="252" ht="15" customHeight="1" x14ac:dyDescent="0.15"/>
    <row r="253" ht="15" customHeight="1" x14ac:dyDescent="0.15"/>
    <row r="254" ht="15" customHeight="1" x14ac:dyDescent="0.15"/>
    <row r="255" ht="15" customHeight="1" x14ac:dyDescent="0.15"/>
    <row r="256" ht="15" customHeight="1" x14ac:dyDescent="0.15"/>
    <row r="257" ht="15" customHeight="1" x14ac:dyDescent="0.15"/>
    <row r="258" ht="15" customHeight="1" x14ac:dyDescent="0.15"/>
    <row r="259" ht="15" customHeight="1" x14ac:dyDescent="0.15"/>
    <row r="260" ht="15" customHeight="1" x14ac:dyDescent="0.15"/>
    <row r="261" ht="15" customHeight="1" x14ac:dyDescent="0.15"/>
    <row r="262" ht="15" customHeight="1" x14ac:dyDescent="0.15"/>
    <row r="263" ht="15" customHeight="1" x14ac:dyDescent="0.15"/>
    <row r="264" ht="15" customHeight="1" x14ac:dyDescent="0.15"/>
    <row r="265" ht="15" customHeight="1" x14ac:dyDescent="0.15"/>
    <row r="266" ht="15" customHeight="1" x14ac:dyDescent="0.15"/>
    <row r="267" ht="15" customHeight="1" x14ac:dyDescent="0.15"/>
    <row r="268" ht="15" customHeight="1" x14ac:dyDescent="0.15"/>
    <row r="269" ht="15" customHeight="1" x14ac:dyDescent="0.15"/>
    <row r="270" ht="15" customHeight="1" x14ac:dyDescent="0.15"/>
    <row r="271" ht="15" customHeight="1" x14ac:dyDescent="0.15"/>
    <row r="272" ht="15" customHeight="1" x14ac:dyDescent="0.15"/>
    <row r="273" ht="15" customHeight="1" x14ac:dyDescent="0.15"/>
    <row r="274" ht="15" customHeight="1" x14ac:dyDescent="0.15"/>
    <row r="275" ht="15" customHeight="1" x14ac:dyDescent="0.15"/>
    <row r="276" ht="15" customHeight="1" x14ac:dyDescent="0.15"/>
    <row r="277" ht="15" customHeight="1" x14ac:dyDescent="0.15"/>
    <row r="278" ht="15" customHeight="1" x14ac:dyDescent="0.15"/>
    <row r="279" ht="15" customHeight="1" x14ac:dyDescent="0.15"/>
    <row r="280" ht="15" customHeight="1" x14ac:dyDescent="0.15"/>
    <row r="281" ht="15" customHeight="1" x14ac:dyDescent="0.15"/>
    <row r="282" ht="15" customHeight="1" x14ac:dyDescent="0.15"/>
    <row r="283" ht="15" customHeight="1" x14ac:dyDescent="0.15"/>
    <row r="284" ht="15" customHeight="1" x14ac:dyDescent="0.15"/>
    <row r="285" ht="15" customHeight="1" x14ac:dyDescent="0.15"/>
    <row r="286" ht="15" customHeight="1" x14ac:dyDescent="0.15"/>
    <row r="287" ht="15" customHeight="1" x14ac:dyDescent="0.15"/>
    <row r="288" ht="15" customHeight="1" x14ac:dyDescent="0.15"/>
    <row r="289" ht="15" customHeight="1" x14ac:dyDescent="0.15"/>
    <row r="290" ht="15" customHeight="1" x14ac:dyDescent="0.15"/>
    <row r="291" ht="15" customHeight="1" x14ac:dyDescent="0.15"/>
    <row r="292" ht="15" customHeight="1" x14ac:dyDescent="0.15"/>
    <row r="293" ht="15" customHeight="1" x14ac:dyDescent="0.15"/>
    <row r="294" ht="15" customHeight="1" x14ac:dyDescent="0.15"/>
    <row r="295" ht="15" customHeight="1" x14ac:dyDescent="0.15"/>
    <row r="296" ht="15" customHeight="1" x14ac:dyDescent="0.15"/>
    <row r="297" ht="15" customHeight="1" x14ac:dyDescent="0.15"/>
    <row r="298" ht="15" customHeight="1" x14ac:dyDescent="0.15"/>
    <row r="299" ht="15" customHeight="1" x14ac:dyDescent="0.15"/>
    <row r="300" ht="15" customHeight="1" x14ac:dyDescent="0.15"/>
    <row r="301" ht="15" customHeight="1" x14ac:dyDescent="0.15"/>
    <row r="302" ht="15" customHeight="1" x14ac:dyDescent="0.15"/>
    <row r="303" ht="15" customHeight="1" x14ac:dyDescent="0.15"/>
    <row r="304" ht="15" customHeight="1" x14ac:dyDescent="0.15"/>
    <row r="305" spans="1:2" ht="15" customHeight="1" x14ac:dyDescent="0.15"/>
    <row r="306" spans="1:2" ht="15" customHeight="1" x14ac:dyDescent="0.15"/>
    <row r="307" spans="1:2" ht="15" customHeight="1" x14ac:dyDescent="0.15"/>
    <row r="308" spans="1:2" ht="15" customHeight="1" x14ac:dyDescent="0.15"/>
    <row r="309" spans="1:2" ht="15" customHeight="1" x14ac:dyDescent="0.15"/>
    <row r="310" spans="1:2" ht="15" customHeight="1" x14ac:dyDescent="0.15"/>
    <row r="311" spans="1:2" ht="15" customHeight="1" x14ac:dyDescent="0.15"/>
    <row r="312" spans="1:2" ht="15" customHeight="1" x14ac:dyDescent="0.15"/>
    <row r="313" spans="1:2" ht="15" customHeight="1" x14ac:dyDescent="0.15"/>
    <row r="316" spans="1:2" ht="22" customHeight="1" x14ac:dyDescent="0.15">
      <c r="A316" s="20" t="s">
        <v>6</v>
      </c>
      <c r="B316" s="21"/>
    </row>
    <row r="317" spans="1:2" ht="15" customHeight="1" x14ac:dyDescent="0.15"/>
    <row r="318" spans="1:2" ht="15" customHeight="1" x14ac:dyDescent="0.15"/>
    <row r="319" spans="1:2" ht="15" customHeight="1" x14ac:dyDescent="0.15"/>
    <row r="320" spans="1:2" ht="15" customHeight="1" x14ac:dyDescent="0.15"/>
    <row r="321" ht="15" customHeight="1" x14ac:dyDescent="0.15"/>
    <row r="322" ht="15" customHeight="1" x14ac:dyDescent="0.15"/>
    <row r="323" ht="15" customHeight="1" x14ac:dyDescent="0.15"/>
    <row r="324" ht="15" customHeight="1" x14ac:dyDescent="0.15"/>
    <row r="325" ht="15" customHeight="1" x14ac:dyDescent="0.15"/>
    <row r="326" ht="15" customHeight="1" x14ac:dyDescent="0.15"/>
    <row r="327" ht="15" customHeight="1" x14ac:dyDescent="0.15"/>
    <row r="328" ht="15" customHeight="1" x14ac:dyDescent="0.15"/>
    <row r="329" ht="15" customHeight="1" x14ac:dyDescent="0.15"/>
    <row r="330" ht="15" customHeight="1" x14ac:dyDescent="0.15"/>
    <row r="331" ht="15" customHeight="1" x14ac:dyDescent="0.15"/>
    <row r="332" ht="15" customHeight="1" x14ac:dyDescent="0.15"/>
    <row r="333" ht="15" customHeight="1" x14ac:dyDescent="0.15"/>
    <row r="334" ht="15" customHeight="1" x14ac:dyDescent="0.15"/>
    <row r="335" ht="15" customHeight="1" x14ac:dyDescent="0.15"/>
    <row r="336" ht="15" customHeight="1" x14ac:dyDescent="0.15"/>
    <row r="337" ht="15" customHeight="1" x14ac:dyDescent="0.15"/>
    <row r="338" ht="15" customHeight="1" x14ac:dyDescent="0.15"/>
    <row r="339" ht="15" customHeight="1" x14ac:dyDescent="0.15"/>
    <row r="340" ht="15" customHeight="1" x14ac:dyDescent="0.15"/>
    <row r="341" ht="15" customHeight="1" x14ac:dyDescent="0.15"/>
    <row r="342" ht="15" customHeight="1" x14ac:dyDescent="0.15"/>
    <row r="343" ht="15" customHeight="1" x14ac:dyDescent="0.15"/>
    <row r="344" ht="15" customHeight="1" x14ac:dyDescent="0.15"/>
    <row r="345" ht="15" customHeight="1" x14ac:dyDescent="0.15"/>
    <row r="346" ht="15" customHeight="1" x14ac:dyDescent="0.15"/>
    <row r="347" ht="15" customHeight="1" x14ac:dyDescent="0.15"/>
    <row r="348" ht="15" customHeight="1" x14ac:dyDescent="0.15"/>
    <row r="349" ht="15" customHeight="1" x14ac:dyDescent="0.15"/>
    <row r="350" ht="15" customHeight="1" x14ac:dyDescent="0.15"/>
    <row r="351" ht="15" customHeight="1" x14ac:dyDescent="0.15"/>
    <row r="352" ht="15" customHeight="1" x14ac:dyDescent="0.15"/>
    <row r="353" ht="15" customHeight="1" x14ac:dyDescent="0.15"/>
    <row r="354" ht="15" customHeight="1" x14ac:dyDescent="0.15"/>
    <row r="355" ht="15" customHeight="1" x14ac:dyDescent="0.15"/>
    <row r="356" ht="15" customHeight="1" x14ac:dyDescent="0.15"/>
    <row r="357" ht="15" customHeight="1" x14ac:dyDescent="0.15"/>
    <row r="358" ht="15" customHeight="1" x14ac:dyDescent="0.15"/>
    <row r="359" ht="15" customHeight="1" x14ac:dyDescent="0.15"/>
    <row r="360" ht="15" customHeight="1" x14ac:dyDescent="0.15"/>
    <row r="361" ht="15" customHeight="1" x14ac:dyDescent="0.15"/>
    <row r="362" ht="15" customHeight="1" x14ac:dyDescent="0.15"/>
    <row r="363" ht="15" customHeight="1" x14ac:dyDescent="0.15"/>
    <row r="364" ht="15" customHeight="1" x14ac:dyDescent="0.15"/>
    <row r="365" ht="15" customHeight="1" x14ac:dyDescent="0.15"/>
    <row r="366" ht="15" customHeight="1" x14ac:dyDescent="0.15"/>
    <row r="367" ht="15" customHeight="1" x14ac:dyDescent="0.15"/>
    <row r="368" ht="15" customHeight="1" x14ac:dyDescent="0.15"/>
    <row r="369" ht="15" customHeight="1" x14ac:dyDescent="0.15"/>
    <row r="370" ht="15" customHeight="1" x14ac:dyDescent="0.15"/>
    <row r="371" ht="15" customHeight="1" x14ac:dyDescent="0.15"/>
    <row r="372" ht="15" customHeight="1" x14ac:dyDescent="0.15"/>
    <row r="373" ht="15" customHeight="1" x14ac:dyDescent="0.15"/>
    <row r="374" ht="15" customHeight="1" x14ac:dyDescent="0.15"/>
    <row r="375" ht="15" customHeight="1" x14ac:dyDescent="0.15"/>
    <row r="376" ht="15" customHeight="1" x14ac:dyDescent="0.15"/>
    <row r="377" ht="15" customHeight="1" x14ac:dyDescent="0.15"/>
    <row r="378" ht="15" customHeight="1" x14ac:dyDescent="0.15"/>
    <row r="379" ht="15" customHeight="1" x14ac:dyDescent="0.15"/>
    <row r="380" ht="15" customHeight="1" x14ac:dyDescent="0.15"/>
    <row r="381" ht="15" customHeight="1" x14ac:dyDescent="0.15"/>
    <row r="382" ht="15" customHeight="1" x14ac:dyDescent="0.15"/>
    <row r="383" ht="15" customHeight="1" x14ac:dyDescent="0.15"/>
    <row r="384" ht="15" customHeight="1" x14ac:dyDescent="0.15"/>
    <row r="385" ht="15" customHeight="1" x14ac:dyDescent="0.15"/>
    <row r="386" ht="15" customHeight="1" x14ac:dyDescent="0.15"/>
    <row r="387" ht="15" customHeight="1" x14ac:dyDescent="0.15"/>
    <row r="388" ht="15" customHeight="1" x14ac:dyDescent="0.15"/>
    <row r="389" ht="15" customHeight="1" x14ac:dyDescent="0.15"/>
    <row r="390" ht="15" customHeight="1" x14ac:dyDescent="0.15"/>
    <row r="391" ht="15" customHeight="1" x14ac:dyDescent="0.15"/>
  </sheetData>
  <mergeCells count="7">
    <mergeCell ref="A1:B1"/>
    <mergeCell ref="A238:B238"/>
    <mergeCell ref="A4:B4"/>
    <mergeCell ref="A2:B2"/>
    <mergeCell ref="A82:B82"/>
    <mergeCell ref="A316:B316"/>
    <mergeCell ref="A160:B160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C23"/>
  <sheetViews>
    <sheetView showOutlineSymbols="0" showWhiteSpace="0" workbookViewId="0"/>
  </sheetViews>
  <sheetFormatPr baseColWidth="10" defaultColWidth="8.83203125" defaultRowHeight="14" x14ac:dyDescent="0.15"/>
  <cols>
    <col min="1" max="1" width="11.83203125" bestFit="1" customWidth="1"/>
    <col min="2" max="2" width="22.83203125" bestFit="1" customWidth="1"/>
    <col min="3" max="3" width="24" bestFit="1" customWidth="1"/>
    <col min="4" max="4" width="7.5" bestFit="1" customWidth="1"/>
    <col min="5" max="5" width="13" bestFit="1" customWidth="1"/>
    <col min="6" max="6" width="14.1640625" bestFit="1" customWidth="1"/>
    <col min="7" max="7" width="5.33203125" bestFit="1" customWidth="1"/>
    <col min="8" max="8" width="6.33203125" bestFit="1" customWidth="1"/>
    <col min="9" max="9" width="15.1640625" bestFit="1" customWidth="1"/>
    <col min="10" max="10" width="6.33203125" bestFit="1" customWidth="1"/>
    <col min="11" max="11" width="7.5" bestFit="1" customWidth="1"/>
    <col min="12" max="12" width="10.83203125" bestFit="1" customWidth="1"/>
    <col min="13" max="14" width="7.5" bestFit="1" customWidth="1"/>
    <col min="15" max="15" width="11.83203125" bestFit="1" customWidth="1"/>
    <col min="16" max="16" width="26.1640625" bestFit="1" customWidth="1"/>
    <col min="17" max="18" width="6.33203125" bestFit="1" customWidth="1"/>
    <col min="19" max="19" width="7.5" bestFit="1" customWidth="1"/>
    <col min="20" max="20" width="30.6640625" bestFit="1" customWidth="1"/>
    <col min="21" max="23" width="6.33203125" bestFit="1" customWidth="1"/>
    <col min="24" max="24" width="13" bestFit="1" customWidth="1"/>
    <col min="25" max="26" width="7.5" bestFit="1" customWidth="1"/>
    <col min="27" max="27" width="31.6640625" bestFit="1" customWidth="1"/>
    <col min="28" max="28" width="5.33203125" bestFit="1" customWidth="1"/>
    <col min="29" max="29" width="7.5" bestFit="1" customWidth="1"/>
    <col min="30" max="30" width="17.33203125" bestFit="1" customWidth="1"/>
    <col min="31" max="31" width="5.33203125" bestFit="1" customWidth="1"/>
    <col min="32" max="32" width="7.5" bestFit="1" customWidth="1"/>
    <col min="33" max="33" width="18.5" bestFit="1" customWidth="1"/>
    <col min="34" max="34" width="4.1640625" bestFit="1" customWidth="1"/>
    <col min="35" max="35" width="7.5" bestFit="1" customWidth="1"/>
    <col min="36" max="36" width="16.33203125" bestFit="1" customWidth="1"/>
    <col min="37" max="37" width="5.33203125" bestFit="1" customWidth="1"/>
    <col min="38" max="38" width="7.5" bestFit="1" customWidth="1"/>
    <col min="39" max="39" width="11.83203125" bestFit="1" customWidth="1"/>
    <col min="40" max="40" width="5.33203125" bestFit="1" customWidth="1"/>
    <col min="41" max="41" width="7.5" bestFit="1" customWidth="1"/>
    <col min="42" max="44" width="18.5" bestFit="1" customWidth="1"/>
    <col min="45" max="45" width="19.6640625" bestFit="1" customWidth="1"/>
    <col min="46" max="46" width="6.33203125" bestFit="1" customWidth="1"/>
    <col min="47" max="47" width="7.5" bestFit="1" customWidth="1"/>
    <col min="48" max="48" width="14.1640625" bestFit="1" customWidth="1"/>
    <col min="49" max="49" width="18.5" bestFit="1" customWidth="1"/>
    <col min="50" max="50" width="6.33203125" bestFit="1" customWidth="1"/>
    <col min="51" max="51" width="7.5" bestFit="1" customWidth="1"/>
    <col min="52" max="52" width="20.6640625" bestFit="1" customWidth="1"/>
    <col min="53" max="54" width="7.5" bestFit="1" customWidth="1"/>
    <col min="55" max="55" width="16.33203125" bestFit="1" customWidth="1"/>
    <col min="56" max="56" width="6.33203125" bestFit="1" customWidth="1"/>
    <col min="57" max="57" width="7.5" bestFit="1" customWidth="1"/>
    <col min="58" max="58" width="16.33203125" bestFit="1" customWidth="1"/>
    <col min="59" max="59" width="5.33203125" bestFit="1" customWidth="1"/>
    <col min="60" max="60" width="7.5" bestFit="1" customWidth="1"/>
    <col min="61" max="61" width="9.6640625" bestFit="1" customWidth="1"/>
    <col min="62" max="62" width="7.5" bestFit="1" customWidth="1"/>
    <col min="63" max="63" width="6.33203125" bestFit="1" customWidth="1"/>
    <col min="64" max="64" width="9.6640625" bestFit="1" customWidth="1"/>
    <col min="65" max="65" width="8.6640625" bestFit="1" customWidth="1"/>
    <col min="66" max="66" width="15.1640625" bestFit="1" customWidth="1"/>
    <col min="67" max="68" width="7.5" bestFit="1" customWidth="1"/>
    <col min="69" max="69" width="15.1640625" bestFit="1" customWidth="1"/>
    <col min="70" max="70" width="6.33203125" bestFit="1" customWidth="1"/>
    <col min="71" max="71" width="7.5" bestFit="1" customWidth="1"/>
    <col min="72" max="72" width="18.5" bestFit="1" customWidth="1"/>
    <col min="73" max="73" width="6.33203125" bestFit="1" customWidth="1"/>
    <col min="74" max="74" width="7.5" bestFit="1" customWidth="1"/>
    <col min="75" max="75" width="18.5" bestFit="1" customWidth="1"/>
    <col min="76" max="77" width="7.5" bestFit="1" customWidth="1"/>
    <col min="78" max="78" width="15.1640625" bestFit="1" customWidth="1"/>
    <col min="79" max="79" width="6.33203125" bestFit="1" customWidth="1"/>
    <col min="80" max="81" width="7.5" bestFit="1" customWidth="1"/>
  </cols>
  <sheetData>
    <row r="1" spans="1:81" ht="56" customHeight="1" x14ac:dyDescent="0.1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s="21" t="s">
        <v>15</v>
      </c>
      <c r="J1" s="21"/>
      <c r="K1" s="21"/>
      <c r="L1" s="21" t="s">
        <v>16</v>
      </c>
      <c r="M1" s="21"/>
      <c r="N1" s="21"/>
      <c r="O1" t="s">
        <v>17</v>
      </c>
      <c r="P1" s="21" t="s">
        <v>18</v>
      </c>
      <c r="Q1" s="21"/>
      <c r="R1" s="21"/>
      <c r="S1" s="21"/>
      <c r="T1" s="21" t="s">
        <v>19</v>
      </c>
      <c r="U1" s="21"/>
      <c r="V1" s="21"/>
      <c r="W1" s="21"/>
      <c r="X1" s="21" t="s">
        <v>20</v>
      </c>
      <c r="Y1" s="21"/>
      <c r="Z1" s="21"/>
      <c r="AA1" s="21" t="s">
        <v>21</v>
      </c>
      <c r="AB1" s="21"/>
      <c r="AC1" s="21"/>
      <c r="AD1" s="21" t="s">
        <v>22</v>
      </c>
      <c r="AE1" s="21"/>
      <c r="AF1" s="21"/>
      <c r="AG1" s="21" t="s">
        <v>23</v>
      </c>
      <c r="AH1" s="21"/>
      <c r="AI1" s="21"/>
      <c r="AJ1" s="21" t="s">
        <v>24</v>
      </c>
      <c r="AK1" s="21"/>
      <c r="AL1" s="21"/>
      <c r="AM1" s="21" t="s">
        <v>25</v>
      </c>
      <c r="AN1" s="21"/>
      <c r="AO1" s="21"/>
      <c r="AP1" t="s">
        <v>26</v>
      </c>
      <c r="AQ1" t="s">
        <v>27</v>
      </c>
      <c r="AR1" t="s">
        <v>28</v>
      </c>
      <c r="AS1" s="21" t="s">
        <v>29</v>
      </c>
      <c r="AT1" s="21"/>
      <c r="AU1" s="21"/>
      <c r="AV1" t="s">
        <v>30</v>
      </c>
      <c r="AW1" s="21" t="s">
        <v>31</v>
      </c>
      <c r="AX1" s="21"/>
      <c r="AY1" s="21"/>
      <c r="AZ1" s="21" t="s">
        <v>32</v>
      </c>
      <c r="BA1" s="21"/>
      <c r="BB1" s="21"/>
      <c r="BC1" s="21" t="s">
        <v>33</v>
      </c>
      <c r="BD1" s="21"/>
      <c r="BE1" s="21"/>
      <c r="BF1" s="21" t="s">
        <v>34</v>
      </c>
      <c r="BG1" s="21"/>
      <c r="BH1" s="21"/>
      <c r="BI1" t="s">
        <v>35</v>
      </c>
      <c r="BJ1" t="s">
        <v>36</v>
      </c>
      <c r="BK1" t="s">
        <v>37</v>
      </c>
      <c r="BL1" t="s">
        <v>38</v>
      </c>
      <c r="BM1" t="s">
        <v>39</v>
      </c>
      <c r="BN1" s="21" t="s">
        <v>40</v>
      </c>
      <c r="BO1" s="21"/>
      <c r="BP1" s="21"/>
      <c r="BQ1" s="21" t="s">
        <v>41</v>
      </c>
      <c r="BR1" s="21"/>
      <c r="BS1" s="21"/>
      <c r="BT1" s="21" t="s">
        <v>42</v>
      </c>
      <c r="BU1" s="21"/>
      <c r="BV1" s="21"/>
      <c r="BW1" s="21" t="s">
        <v>43</v>
      </c>
      <c r="BX1" s="21"/>
      <c r="BY1" s="21"/>
      <c r="BZ1" s="21" t="s">
        <v>44</v>
      </c>
      <c r="CA1" s="21"/>
      <c r="CB1" s="21"/>
      <c r="CC1" t="s">
        <v>45</v>
      </c>
    </row>
    <row r="2" spans="1:81" x14ac:dyDescent="0.15">
      <c r="A2" s="1" t="s">
        <v>46</v>
      </c>
      <c r="B2" s="1"/>
      <c r="C2" s="1"/>
      <c r="D2" s="1"/>
      <c r="E2" s="1"/>
      <c r="F2" s="1"/>
      <c r="G2" s="1">
        <f t="shared" ref="G2:J3" si="0">AVERAGE(G4,G6,G8,G10,G12,G14,G16,G18,G20,G22)</f>
        <v>2.2999999999999998</v>
      </c>
      <c r="H2" s="1">
        <f t="shared" si="0"/>
        <v>1.7799999999999998</v>
      </c>
      <c r="I2" s="1">
        <f t="shared" si="0"/>
        <v>17.8</v>
      </c>
      <c r="J2" s="1">
        <f t="shared" si="0"/>
        <v>7.3</v>
      </c>
      <c r="K2" s="1">
        <f>IFERROR(SUM(J4,J6,J8,J10,J12,J14,J16,J18,J20,J22)/SUM(I4,I6,I8,I10,I12,I14,I16,I18,I20,I22)*100,0)</f>
        <v>41.011235955056179</v>
      </c>
      <c r="L2" s="1">
        <f>AVERAGE(L4,L6,L8,L10,L12,L14,L16,L18,L20,L22)</f>
        <v>460.5</v>
      </c>
      <c r="M2" s="1">
        <f>AVERAGE(M4,M6,M8,M10,M12,M14,M16,M18,M20,M22)</f>
        <v>350.3</v>
      </c>
      <c r="N2" s="1">
        <f>IFERROR(SUM(M4,M6,M8,M10,M12,M14,M16,M18,M20,M22)/SUM(L4,L6,L8,L10,L12,L14,L16,L18,L20,L22)*100,0)</f>
        <v>76.069489685124864</v>
      </c>
      <c r="O2" s="1">
        <f t="shared" ref="O2:Y2" si="1">AVERAGE(O4,O6,O8,O10,O12,O14,O16,O18,O20,O22)</f>
        <v>54.56</v>
      </c>
      <c r="P2" s="1">
        <f t="shared" si="1"/>
        <v>136.5</v>
      </c>
      <c r="Q2" s="1">
        <f t="shared" si="1"/>
        <v>16.2</v>
      </c>
      <c r="R2" s="1">
        <f t="shared" si="1"/>
        <v>45.1</v>
      </c>
      <c r="S2" s="1">
        <f t="shared" si="1"/>
        <v>75.2</v>
      </c>
      <c r="T2" s="1">
        <f t="shared" si="1"/>
        <v>104.2</v>
      </c>
      <c r="U2" s="1">
        <f t="shared" si="1"/>
        <v>35.299999999999997</v>
      </c>
      <c r="V2" s="1">
        <f t="shared" si="1"/>
        <v>45.8</v>
      </c>
      <c r="W2" s="1">
        <f t="shared" si="1"/>
        <v>23.1</v>
      </c>
      <c r="X2" s="1">
        <f t="shared" si="1"/>
        <v>200</v>
      </c>
      <c r="Y2" s="1">
        <f t="shared" si="1"/>
        <v>104.6</v>
      </c>
      <c r="Z2" s="1">
        <f>IFERROR(SUM(Y4,Y6,Y8,Y10,Y12,Y14,Y16,Y18,Y20,Y22)/SUM(X4,X6,X8,X10,X12,X14,X16,X18,X20,X22)*100,0)</f>
        <v>52.300000000000004</v>
      </c>
      <c r="AA2" s="1">
        <f>AVERAGE(AA4,AA6,AA8,AA10,AA12,AA14,AA16,AA18,AA20,AA22)</f>
        <v>8.5</v>
      </c>
      <c r="AB2" s="1">
        <f>AVERAGE(AB4,AB6,AB8,AB10,AB12,AB14,AB16,AB18,AB20,AB22)</f>
        <v>3.4</v>
      </c>
      <c r="AC2" s="1">
        <f>IFERROR(SUM(AB4,AB6,AB8,AB10,AB12,AB14,AB16,AB18,AB20,AB22)/SUM(AA4,AA6,AA8,AA10,AA12,AA14,AA16,AA18,AA20,AA22)*100,0)</f>
        <v>40</v>
      </c>
      <c r="AD2" s="1">
        <f>AVERAGE(AD4,AD6,AD8,AD10,AD12,AD14,AD16,AD18,AD20,AD22)</f>
        <v>47.1</v>
      </c>
      <c r="AE2" s="1">
        <f>AVERAGE(AE4,AE6,AE8,AE10,AE12,AE14,AE16,AE18,AE20,AE22)</f>
        <v>14.2</v>
      </c>
      <c r="AF2" s="1">
        <f>IFERROR(SUM(AE4,AE6,AE8,AE10,AE12,AE14,AE16,AE18,AE20,AE22)/SUM(AD4,AD6,AD8,AD10,AD12,AD14,AD16,AD18,AD20,AD22)*100,0)</f>
        <v>30.148619957537154</v>
      </c>
      <c r="AG2" s="1">
        <f>AVERAGE(AG4,AG6,AG8,AG10,AG12,AG14,AG16,AG18,AG20,AG22)</f>
        <v>17.100000000000001</v>
      </c>
      <c r="AH2" s="1">
        <f>AVERAGE(AH4,AH6,AH8,AH10,AH12,AH14,AH16,AH18,AH20,AH22)</f>
        <v>2.9</v>
      </c>
      <c r="AI2" s="1">
        <f>IFERROR(SUM(AH4,AH6,AH8,AH10,AH12,AH14,AH16,AH18,AH20,AH22)/SUM(AG4,AG6,AG8,AG10,AG12,AG14,AG16,AG18,AG20,AG22)*100,0)</f>
        <v>16.959064327485379</v>
      </c>
      <c r="AJ2" s="1">
        <f>AVERAGE(AJ4,AJ6,AJ8,AJ10,AJ12,AJ14,AJ16,AJ18,AJ20,AJ22)</f>
        <v>6.2</v>
      </c>
      <c r="AK2" s="1">
        <f>AVERAGE(AK4,AK6,AK8,AK10,AK12,AK14,AK16,AK18,AK20,AK22)</f>
        <v>1.8</v>
      </c>
      <c r="AL2" s="1">
        <f>IFERROR(SUM(AK4,AK6,AK8,AK10,AK12,AK14,AK16,AK18,AK20,AK22)/SUM(AJ4,AJ6,AJ8,AJ10,AJ12,AJ14,AJ16,AJ18,AJ20,AJ22)*100,0)</f>
        <v>29.032258064516132</v>
      </c>
      <c r="AM2" s="1">
        <f>AVERAGE(AM4,AM6,AM8,AM10,AM12,AM14,AM16,AM18,AM20,AM22)</f>
        <v>18.8</v>
      </c>
      <c r="AN2" s="1">
        <f>AVERAGE(AN4,AN6,AN8,AN10,AN12,AN14,AN16,AN18,AN20,AN22)</f>
        <v>5</v>
      </c>
      <c r="AO2" s="1">
        <f>IFERROR(SUM(AN4,AN6,AN8,AN10,AN12,AN14,AN16,AN18,AN20,AN22)/SUM(AM4,AM6,AM8,AM10,AM12,AM14,AM16,AM18,AM20,AM22)*100,0)</f>
        <v>26.595744680851062</v>
      </c>
      <c r="AP2" s="1">
        <f t="shared" ref="AP2:AT3" si="2">AVERAGE(AP4,AP6,AP8,AP10,AP12,AP14,AP16,AP18,AP20,AP22)</f>
        <v>5.6</v>
      </c>
      <c r="AQ2" s="1">
        <f t="shared" si="2"/>
        <v>8.6</v>
      </c>
      <c r="AR2" s="1">
        <f t="shared" si="2"/>
        <v>23.2</v>
      </c>
      <c r="AS2" s="1">
        <f t="shared" si="2"/>
        <v>75.2</v>
      </c>
      <c r="AT2" s="1">
        <f t="shared" si="2"/>
        <v>24.8</v>
      </c>
      <c r="AU2" s="1">
        <f>IFERROR(SUM(AT4,AT6,AT8,AT10,AT12,AT14,AT16,AT18,AT20,AT22)/SUM(AS4,AS6,AS8,AS10,AS12,AS14,AS16,AS18,AS20,AS22)*100,0)</f>
        <v>32.978723404255319</v>
      </c>
      <c r="AV2" s="1">
        <f t="shared" ref="AV2:AX3" si="3">AVERAGE(AV4,AV6,AV8,AV10,AV12,AV14,AV16,AV18,AV20,AV22)</f>
        <v>0.2</v>
      </c>
      <c r="AW2" s="1">
        <f t="shared" si="3"/>
        <v>6.7</v>
      </c>
      <c r="AX2" s="1">
        <f t="shared" si="3"/>
        <v>2.2999999999999998</v>
      </c>
      <c r="AY2" s="1">
        <f>IFERROR(SUM(AX4,AX6,AX8,AX10,AX12,AX14,AX16,AX18,AX20,AX22)/SUM(AW4,AW6,AW8,AW10,AW12,AW14,AW16,AW18,AW20,AW22)*100,0)</f>
        <v>34.328358208955223</v>
      </c>
      <c r="AZ2" s="1">
        <f>AVERAGE(AZ4,AZ6,AZ8,AZ10,AZ12,AZ14,AZ16,AZ18,AZ20,AZ22)</f>
        <v>84.6</v>
      </c>
      <c r="BA2" s="1">
        <f>AVERAGE(BA4,BA6,BA8,BA10,BA12,BA14,BA16,BA18,BA20,BA22)</f>
        <v>62</v>
      </c>
      <c r="BB2" s="1">
        <f>IFERROR(SUM(BA4,BA6,BA8,BA10,BA12,BA14,BA16,BA18,BA20,BA22)/SUM(AZ4,AZ6,AZ8,AZ10,AZ12,AZ14,AZ16,AZ18,AZ20,AZ22)*100,0)</f>
        <v>73.286052009456256</v>
      </c>
      <c r="BC2" s="1">
        <f>AVERAGE(BC4,BC6,BC8,BC10,BC12,BC14,BC16,BC18,BC20,BC22)</f>
        <v>16</v>
      </c>
      <c r="BD2" s="1">
        <f>AVERAGE(BD4,BD6,BD8,BD10,BD12,BD14,BD16,BD18,BD20,BD22)</f>
        <v>7.1</v>
      </c>
      <c r="BE2" s="1">
        <f>IFERROR(SUM(BD4,BD6,BD8,BD10,BD12,BD14,BD16,BD18,BD20,BD22)/SUM(BC4,BC6,BC8,BC10,BC12,BC14,BC16,BC18,BC20,BC22)*100,0)</f>
        <v>44.375</v>
      </c>
      <c r="BF2" s="1">
        <f>AVERAGE(BF4,BF6,BF8,BF10,BF12,BF14,BF16,BF18,BF20,BF22)</f>
        <v>1.6</v>
      </c>
      <c r="BG2" s="1">
        <f>AVERAGE(BG4,BG6,BG8,BG10,BG12,BG14,BG16,BG18,BG20,BG22)</f>
        <v>0.8</v>
      </c>
      <c r="BH2" s="1">
        <f>IFERROR(SUM(BG4,BG6,BG8,BG10,BG12,BG14,BG16,BG18,BG20,BG22)/SUM(BF4,BF6,BF8,BF10,BF12,BF14,BF16,BF18,BF20,BF22)*100,0)</f>
        <v>50</v>
      </c>
      <c r="BI2" s="1">
        <f t="shared" ref="BI2:BO3" si="4">AVERAGE(BI4,BI6,BI8,BI10,BI12,BI14,BI16,BI18,BI20,BI22)</f>
        <v>49.6</v>
      </c>
      <c r="BJ2" s="1">
        <f t="shared" si="4"/>
        <v>15.1</v>
      </c>
      <c r="BK2" s="1">
        <f t="shared" si="4"/>
        <v>8.1</v>
      </c>
      <c r="BL2" s="1">
        <f t="shared" si="4"/>
        <v>0.6</v>
      </c>
      <c r="BM2" s="1">
        <f t="shared" si="4"/>
        <v>0</v>
      </c>
      <c r="BN2" s="1">
        <f t="shared" si="4"/>
        <v>173.9</v>
      </c>
      <c r="BO2" s="1">
        <f t="shared" si="4"/>
        <v>115.6</v>
      </c>
      <c r="BP2" s="1">
        <f>IFERROR(SUM(BO4,BO6,BO8,BO10,BO12,BO14,BO16,BO18,BO20,BO22)/SUM(BN4,BN6,BN8,BN10,BN12,BN14,BN16,BN18,BN20,BN22)*100,0)</f>
        <v>66.474985623921796</v>
      </c>
      <c r="BQ2" s="1">
        <f>AVERAGE(BQ4,BQ6,BQ8,BQ10,BQ12,BQ14,BQ16,BQ18,BQ20,BQ22)</f>
        <v>53.7</v>
      </c>
      <c r="BR2" s="1">
        <f>AVERAGE(BR4,BR6,BR8,BR10,BR12,BR14,BR16,BR18,BR20,BR22)</f>
        <v>24.5</v>
      </c>
      <c r="BS2" s="1">
        <f>IFERROR(SUM(BR4,BR6,BR8,BR10,BR12,BR14,BR16,BR18,BR20,BR22)/SUM(BQ4,BQ6,BQ8,BQ10,BQ12,BQ14,BQ16,BQ18,BQ20,BQ22)*100,0)</f>
        <v>45.623836126629428</v>
      </c>
      <c r="BT2" s="1">
        <f>AVERAGE(BT4,BT6,BT8,BT10,BT12,BT14,BT16,BT18,BT20,BT22)</f>
        <v>68.900000000000006</v>
      </c>
      <c r="BU2" s="1">
        <f>AVERAGE(BU4,BU6,BU8,BU10,BU12,BU14,BU16,BU18,BU20,BU22)</f>
        <v>40.6</v>
      </c>
      <c r="BV2" s="1">
        <f>IFERROR(SUM(BU4,BU6,BU8,BU10,BU12,BU14,BU16,BU18,BU20,BU22)/SUM(BT4,BT6,BT8,BT10,BT12,BT14,BT16,BT18,BT20,BT22)*100,0)</f>
        <v>58.925979680696663</v>
      </c>
      <c r="BW2" s="1">
        <f>AVERAGE(BW4,BW6,BW8,BW10,BW12,BW14,BW16,BW18,BW20,BW22)</f>
        <v>88.2</v>
      </c>
      <c r="BX2" s="1">
        <f>AVERAGE(BX4,BX6,BX8,BX10,BX12,BX14,BX16,BX18,BX20,BX22)</f>
        <v>60.8</v>
      </c>
      <c r="BY2" s="1">
        <f>IFERROR(SUM(BX4,BX6,BX8,BX10,BX12,BX14,BX16,BX18,BX20,BX22)/SUM(BW4,BW6,BW8,BW10,BW12,BW14,BW16,BW18,BW20,BW22)*100,0)</f>
        <v>68.934240362811792</v>
      </c>
      <c r="BZ2" s="1">
        <f>AVERAGE(BZ4,BZ6,BZ8,BZ10,BZ12,BZ14,BZ16,BZ18,BZ20,BZ22)</f>
        <v>31.4</v>
      </c>
      <c r="CA2" s="1">
        <f>AVERAGE(CA4,CA6,CA8,CA10,CA12,CA14,CA16,CA18,CA20,CA22)</f>
        <v>25.2</v>
      </c>
      <c r="CB2" s="1">
        <f>IFERROR(SUM(CA4,CA6,CA8,CA10,CA12,CA14,CA16,CA18,CA20,CA22)/SUM(BZ4,BZ6,BZ8,BZ10,BZ12,BZ14,BZ16,BZ18,BZ20,BZ22)*100,0)</f>
        <v>80.254777070063696</v>
      </c>
      <c r="CC2" s="1">
        <f>AVERAGE(CC4,CC6,CC8,CC10,CC12,CC14,CC16,CC18,CC20,CC22)</f>
        <v>6.577</v>
      </c>
    </row>
    <row r="3" spans="1:81" x14ac:dyDescent="0.15">
      <c r="A3" s="1" t="s">
        <v>47</v>
      </c>
      <c r="B3" s="1"/>
      <c r="C3" s="1"/>
      <c r="D3" s="1"/>
      <c r="E3" s="1"/>
      <c r="F3" s="1"/>
      <c r="G3" s="1">
        <f t="shared" si="0"/>
        <v>0.2</v>
      </c>
      <c r="H3" s="1">
        <f t="shared" si="0"/>
        <v>0.42699999999999994</v>
      </c>
      <c r="I3" s="1">
        <f t="shared" si="0"/>
        <v>6.7</v>
      </c>
      <c r="J3" s="1">
        <f t="shared" si="0"/>
        <v>2.1</v>
      </c>
      <c r="K3" s="1">
        <f>IFERROR(SUM(J5,J7,J9,J11,J13,J15,J17,J19,J21,J23)/SUM(I5,I7,I9,I11,I13,I15,I17,I19,I21,I23)*100,0)</f>
        <v>31.343283582089555</v>
      </c>
      <c r="L3" s="1">
        <f>AVERAGE(L5,L7,L9,L11,L13,L15,L17,L19,L21,L23)</f>
        <v>356.1</v>
      </c>
      <c r="M3" s="1">
        <f>AVERAGE(M5,M7,M9,M11,M13,M15,M17,M19,M21,M23)</f>
        <v>247.6</v>
      </c>
      <c r="N3" s="1">
        <f>IFERROR(SUM(M5,M7,M9,M11,M13,M15,M17,M19,M21,M23)/SUM(L5,L7,L9,L11,L13,L15,L17,L19,L21,L23)*100,0)</f>
        <v>69.531030609379386</v>
      </c>
      <c r="O3" s="1">
        <f t="shared" ref="O3:Y3" si="5">AVERAGE(O5,O7,O9,O11,O13,O15,O17,O19,O21,O23)</f>
        <v>45.44</v>
      </c>
      <c r="P3" s="1">
        <f t="shared" si="5"/>
        <v>151.4</v>
      </c>
      <c r="Q3" s="1">
        <f t="shared" si="5"/>
        <v>34.9</v>
      </c>
      <c r="R3" s="1">
        <f t="shared" si="5"/>
        <v>63.4</v>
      </c>
      <c r="S3" s="1">
        <f t="shared" si="5"/>
        <v>53.1</v>
      </c>
      <c r="T3" s="1">
        <f t="shared" si="5"/>
        <v>87.5</v>
      </c>
      <c r="U3" s="1">
        <f t="shared" si="5"/>
        <v>45.8</v>
      </c>
      <c r="V3" s="1">
        <f t="shared" si="5"/>
        <v>32.700000000000003</v>
      </c>
      <c r="W3" s="1">
        <f t="shared" si="5"/>
        <v>9</v>
      </c>
      <c r="X3" s="1">
        <f t="shared" si="5"/>
        <v>200</v>
      </c>
      <c r="Y3" s="1">
        <f t="shared" si="5"/>
        <v>91.8</v>
      </c>
      <c r="Z3" s="1">
        <f>IFERROR(SUM(Y5,Y7,Y9,Y11,Y13,Y15,Y17,Y19,Y21,Y23)/SUM(X5,X7,X9,X11,X13,X15,X17,X19,X21,X23)*100,0)</f>
        <v>45.9</v>
      </c>
      <c r="AA3" s="1">
        <f>AVERAGE(AA5,AA7,AA9,AA11,AA13,AA15,AA17,AA19,AA21,AA23)</f>
        <v>4.2</v>
      </c>
      <c r="AB3" s="1">
        <f>AVERAGE(AB5,AB7,AB9,AB11,AB13,AB15,AB17,AB19,AB21,AB23)</f>
        <v>1.1000000000000001</v>
      </c>
      <c r="AC3" s="1">
        <f>IFERROR(SUM(AB5,AB7,AB9,AB11,AB13,AB15,AB17,AB19,AB21,AB23)/SUM(AA5,AA7,AA9,AA11,AA13,AA15,AA17,AA19,AA21,AA23)*100,0)</f>
        <v>26.190476190476193</v>
      </c>
      <c r="AD3" s="1">
        <f>AVERAGE(AD5,AD7,AD9,AD11,AD13,AD15,AD17,AD19,AD21,AD23)</f>
        <v>23.5</v>
      </c>
      <c r="AE3" s="1">
        <f>AVERAGE(AE5,AE7,AE9,AE11,AE13,AE15,AE17,AE19,AE21,AE23)</f>
        <v>4.0999999999999996</v>
      </c>
      <c r="AF3" s="1">
        <f>IFERROR(SUM(AE5,AE7,AE9,AE11,AE13,AE15,AE17,AE19,AE21,AE23)/SUM(AD5,AD7,AD9,AD11,AD13,AD15,AD17,AD19,AD21,AD23)*100,0)</f>
        <v>17.446808510638299</v>
      </c>
      <c r="AG3" s="1">
        <f>AVERAGE(AG5,AG7,AG9,AG11,AG13,AG15,AG17,AG19,AG21,AG23)</f>
        <v>28.3</v>
      </c>
      <c r="AH3" s="1">
        <f>AVERAGE(AH5,AH7,AH9,AH11,AH13,AH15,AH17,AH19,AH21,AH23)</f>
        <v>2.1</v>
      </c>
      <c r="AI3" s="1">
        <f>IFERROR(SUM(AH5,AH7,AH9,AH11,AH13,AH15,AH17,AH19,AH21,AH23)/SUM(AG5,AG7,AG9,AG11,AG13,AG15,AG17,AG19,AG21,AG23)*100,0)</f>
        <v>7.4204946996466434</v>
      </c>
      <c r="AJ3" s="1">
        <f>AVERAGE(AJ5,AJ7,AJ9,AJ11,AJ13,AJ15,AJ17,AJ19,AJ21,AJ23)</f>
        <v>3.2</v>
      </c>
      <c r="AK3" s="1">
        <f>AVERAGE(AK5,AK7,AK9,AK11,AK13,AK15,AK17,AK19,AK21,AK23)</f>
        <v>0.8</v>
      </c>
      <c r="AL3" s="1">
        <f>IFERROR(SUM(AK5,AK7,AK9,AK11,AK13,AK15,AK17,AK19,AK21,AK23)/SUM(AJ5,AJ7,AJ9,AJ11,AJ13,AJ15,AJ17,AJ19,AJ21,AJ23)*100,0)</f>
        <v>25</v>
      </c>
      <c r="AM3" s="1">
        <f>AVERAGE(AM5,AM7,AM9,AM11,AM13,AM15,AM17,AM19,AM21,AM23)</f>
        <v>9.6999999999999993</v>
      </c>
      <c r="AN3" s="1">
        <f>AVERAGE(AN5,AN7,AN9,AN11,AN13,AN15,AN17,AN19,AN21,AN23)</f>
        <v>2</v>
      </c>
      <c r="AO3" s="1">
        <f>IFERROR(SUM(AN5,AN7,AN9,AN11,AN13,AN15,AN17,AN19,AN21,AN23)/SUM(AM5,AM7,AM9,AM11,AM13,AM15,AM17,AM19,AM21,AM23)*100,0)</f>
        <v>20.618556701030926</v>
      </c>
      <c r="AP3" s="1">
        <f t="shared" si="2"/>
        <v>2.2000000000000002</v>
      </c>
      <c r="AQ3" s="1">
        <f t="shared" si="2"/>
        <v>2.4</v>
      </c>
      <c r="AR3" s="1">
        <f t="shared" si="2"/>
        <v>7.3</v>
      </c>
      <c r="AS3" s="1">
        <f t="shared" si="2"/>
        <v>84.6</v>
      </c>
      <c r="AT3" s="1">
        <f t="shared" si="2"/>
        <v>22.6</v>
      </c>
      <c r="AU3" s="1">
        <f>IFERROR(SUM(AT5,AT7,AT9,AT11,AT13,AT15,AT17,AT19,AT21,AT23)/SUM(AS5,AS7,AS9,AS11,AS13,AS15,AS17,AS19,AS21,AS23)*100,0)</f>
        <v>26.713947990543733</v>
      </c>
      <c r="AV3" s="1">
        <f t="shared" si="3"/>
        <v>2.2999999999999998</v>
      </c>
      <c r="AW3" s="1">
        <f t="shared" si="3"/>
        <v>17.8</v>
      </c>
      <c r="AX3" s="1">
        <f t="shared" si="3"/>
        <v>8.1999999999999993</v>
      </c>
      <c r="AY3" s="1">
        <f>IFERROR(SUM(AX5,AX7,AX9,AX11,AX13,AX15,AX17,AX19,AX21,AX23)/SUM(AW5,AW7,AW9,AW11,AW13,AW15,AW17,AW19,AW21,AW23)*100,0)</f>
        <v>46.067415730337082</v>
      </c>
      <c r="AZ3" s="1">
        <f>AVERAGE(AZ5,AZ7,AZ9,AZ11,AZ13,AZ15,AZ17,AZ19,AZ21,AZ23)</f>
        <v>75.2</v>
      </c>
      <c r="BA3" s="1">
        <f>AVERAGE(BA5,BA7,BA9,BA11,BA13,BA15,BA17,BA19,BA21,BA23)</f>
        <v>50.4</v>
      </c>
      <c r="BB3" s="1">
        <f>IFERROR(SUM(BA5,BA7,BA9,BA11,BA13,BA15,BA17,BA19,BA21,BA23)/SUM(AZ5,AZ7,AZ9,AZ11,AZ13,AZ15,AZ17,AZ19,AZ21,AZ23)*100,0)</f>
        <v>67.021276595744681</v>
      </c>
      <c r="BC3" s="1">
        <f>AVERAGE(BC5,BC7,BC9,BC11,BC13,BC15,BC17,BC19,BC21,BC23)</f>
        <v>16</v>
      </c>
      <c r="BD3" s="1">
        <f>AVERAGE(BD5,BD7,BD9,BD11,BD13,BD15,BD17,BD19,BD21,BD23)</f>
        <v>7.7</v>
      </c>
      <c r="BE3" s="1">
        <f>IFERROR(SUM(BD5,BD7,BD9,BD11,BD13,BD15,BD17,BD19,BD21,BD23)/SUM(BC5,BC7,BC9,BC11,BC13,BC15,BC17,BC19,BC21,BC23)*100,0)</f>
        <v>48.125</v>
      </c>
      <c r="BF3" s="1">
        <f>AVERAGE(BF5,BF7,BF9,BF11,BF13,BF15,BF17,BF19,BF21,BF23)</f>
        <v>2.5</v>
      </c>
      <c r="BG3" s="1">
        <f>AVERAGE(BG5,BG7,BG9,BG11,BG13,BG15,BG17,BG19,BG21,BG23)</f>
        <v>1.4</v>
      </c>
      <c r="BH3" s="1">
        <f>IFERROR(SUM(BG5,BG7,BG9,BG11,BG13,BG15,BG17,BG19,BG21,BG23)/SUM(BF5,BF7,BF9,BF11,BF13,BF15,BF17,BF19,BF21,BF23)*100,0)</f>
        <v>56.000000000000007</v>
      </c>
      <c r="BI3" s="1">
        <f t="shared" si="4"/>
        <v>47.8</v>
      </c>
      <c r="BJ3" s="1">
        <f t="shared" si="4"/>
        <v>17.7</v>
      </c>
      <c r="BK3" s="1">
        <f t="shared" si="4"/>
        <v>4.9000000000000004</v>
      </c>
      <c r="BL3" s="1">
        <f t="shared" si="4"/>
        <v>0.7</v>
      </c>
      <c r="BM3" s="1">
        <f t="shared" si="4"/>
        <v>0</v>
      </c>
      <c r="BN3" s="1">
        <f t="shared" si="4"/>
        <v>146.5</v>
      </c>
      <c r="BO3" s="1">
        <f t="shared" si="4"/>
        <v>82.9</v>
      </c>
      <c r="BP3" s="1">
        <f>IFERROR(SUM(BO5,BO7,BO9,BO11,BO13,BO15,BO17,BO19,BO21,BO23)/SUM(BN5,BN7,BN9,BN11,BN13,BN15,BN17,BN19,BN21,BN23)*100,0)</f>
        <v>56.587030716723554</v>
      </c>
      <c r="BQ3" s="1">
        <f>AVERAGE(BQ5,BQ7,BQ9,BQ11,BQ13,BQ15,BQ17,BQ19,BQ21,BQ23)</f>
        <v>52.1</v>
      </c>
      <c r="BR3" s="1">
        <f>AVERAGE(BR5,BR7,BR9,BR11,BR13,BR15,BR17,BR19,BR21,BR23)</f>
        <v>21.9</v>
      </c>
      <c r="BS3" s="1">
        <f>IFERROR(SUM(BR5,BR7,BR9,BR11,BR13,BR15,BR17,BR19,BR21,BR23)/SUM(BQ5,BQ7,BQ9,BQ11,BQ13,BQ15,BQ17,BQ19,BQ21,BQ23)*100,0)</f>
        <v>42.034548944337814</v>
      </c>
      <c r="BT3" s="1">
        <f>AVERAGE(BT5,BT7,BT9,BT11,BT13,BT15,BT17,BT19,BT21,BT23)</f>
        <v>43.2</v>
      </c>
      <c r="BU3" s="1">
        <f>AVERAGE(BU5,BU7,BU9,BU11,BU13,BU15,BU17,BU19,BU21,BU23)</f>
        <v>22.6</v>
      </c>
      <c r="BV3" s="1">
        <f>IFERROR(SUM(BU5,BU7,BU9,BU11,BU13,BU15,BU17,BU19,BU21,BU23)/SUM(BT5,BT7,BT9,BT11,BT13,BT15,BT17,BT19,BT21,BT23)*100,0)</f>
        <v>52.314814814814817</v>
      </c>
      <c r="BW3" s="1">
        <f>AVERAGE(BW5,BW7,BW9,BW11,BW13,BW15,BW17,BW19,BW21,BW23)</f>
        <v>77.2</v>
      </c>
      <c r="BX3" s="1">
        <f>AVERAGE(BX5,BX7,BX9,BX11,BX13,BX15,BX17,BX19,BX21,BX23)</f>
        <v>33.4</v>
      </c>
      <c r="BY3" s="1">
        <f>IFERROR(SUM(BX5,BX7,BX9,BX11,BX13,BX15,BX17,BX19,BX21,BX23)/SUM(BW5,BW7,BW9,BW11,BW13,BW15,BW17,BW19,BW21,BW23)*100,0)</f>
        <v>43.26424870466321</v>
      </c>
      <c r="BZ3" s="1">
        <f>AVERAGE(BZ5,BZ7,BZ9,BZ11,BZ13,BZ15,BZ17,BZ19,BZ21,BZ23)</f>
        <v>31.7</v>
      </c>
      <c r="CA3" s="1">
        <f>AVERAGE(CA5,CA7,CA9,CA11,CA13,CA15,CA17,CA19,CA21,CA23)</f>
        <v>22.8</v>
      </c>
      <c r="CB3" s="1">
        <f>IFERROR(SUM(CA5,CA7,CA9,CA11,CA13,CA15,CA17,CA19,CA21,CA23)/SUM(BZ5,BZ7,BZ9,BZ11,BZ13,BZ15,BZ17,BZ19,BZ21,BZ23)*100,0)</f>
        <v>71.924290220820183</v>
      </c>
      <c r="CC3" s="1">
        <f>AVERAGE(CC5,CC7,CC9,CC11,CC13,CC15,CC17,CC19,CC21,CC23)</f>
        <v>24.242000000000001</v>
      </c>
    </row>
    <row r="4" spans="1:81" ht="12" customHeight="1" x14ac:dyDescent="0.15">
      <c r="A4" s="21" t="s">
        <v>48</v>
      </c>
      <c r="B4" s="21" t="s">
        <v>49</v>
      </c>
      <c r="C4" s="21" t="s">
        <v>50</v>
      </c>
      <c r="D4" s="21">
        <v>94</v>
      </c>
      <c r="E4" t="s">
        <v>46</v>
      </c>
      <c r="F4" t="s">
        <v>51</v>
      </c>
      <c r="G4">
        <v>3</v>
      </c>
      <c r="H4">
        <v>4.37</v>
      </c>
      <c r="I4">
        <v>31</v>
      </c>
      <c r="J4">
        <v>6</v>
      </c>
      <c r="K4">
        <v>19.350000000000001</v>
      </c>
      <c r="L4">
        <v>559</v>
      </c>
      <c r="M4">
        <v>467</v>
      </c>
      <c r="N4">
        <v>83.54</v>
      </c>
      <c r="O4">
        <v>62.54</v>
      </c>
      <c r="P4">
        <v>108</v>
      </c>
      <c r="Q4">
        <v>1</v>
      </c>
      <c r="R4">
        <v>13</v>
      </c>
      <c r="S4">
        <v>94</v>
      </c>
      <c r="T4">
        <v>91</v>
      </c>
      <c r="U4">
        <v>8</v>
      </c>
      <c r="V4">
        <v>38</v>
      </c>
      <c r="W4">
        <v>45</v>
      </c>
      <c r="X4">
        <v>179</v>
      </c>
      <c r="Y4">
        <v>84</v>
      </c>
      <c r="Z4">
        <v>46.93</v>
      </c>
      <c r="AA4">
        <v>12</v>
      </c>
      <c r="AB4">
        <v>2</v>
      </c>
      <c r="AC4">
        <v>16.670000000000002</v>
      </c>
      <c r="AD4">
        <v>78</v>
      </c>
      <c r="AE4">
        <v>27</v>
      </c>
      <c r="AF4">
        <v>34.619999999999997</v>
      </c>
      <c r="AG4">
        <v>13</v>
      </c>
      <c r="AH4">
        <v>3</v>
      </c>
      <c r="AI4">
        <v>23.08</v>
      </c>
      <c r="AJ4">
        <v>8</v>
      </c>
      <c r="AK4">
        <v>3</v>
      </c>
      <c r="AL4">
        <v>37.5</v>
      </c>
      <c r="AM4">
        <v>29</v>
      </c>
      <c r="AN4">
        <v>7</v>
      </c>
      <c r="AO4">
        <v>24.14</v>
      </c>
      <c r="AP4">
        <v>11</v>
      </c>
      <c r="AQ4">
        <v>31</v>
      </c>
      <c r="AR4">
        <v>58</v>
      </c>
      <c r="AS4">
        <v>81</v>
      </c>
      <c r="AT4">
        <v>23</v>
      </c>
      <c r="AU4">
        <v>28.4</v>
      </c>
      <c r="AV4">
        <v>0</v>
      </c>
      <c r="AW4">
        <v>0</v>
      </c>
      <c r="AX4">
        <v>0</v>
      </c>
      <c r="AY4">
        <v>0</v>
      </c>
      <c r="AZ4">
        <v>67</v>
      </c>
      <c r="BA4">
        <v>47</v>
      </c>
      <c r="BB4">
        <v>70.150000000000006</v>
      </c>
      <c r="BC4">
        <v>7</v>
      </c>
      <c r="BD4">
        <v>4</v>
      </c>
      <c r="BE4">
        <v>57.14</v>
      </c>
      <c r="BF4">
        <v>1</v>
      </c>
      <c r="BG4">
        <v>0</v>
      </c>
      <c r="BH4">
        <v>0</v>
      </c>
      <c r="BI4">
        <v>23</v>
      </c>
      <c r="BJ4">
        <v>2</v>
      </c>
      <c r="BK4">
        <v>13</v>
      </c>
      <c r="BL4">
        <v>0</v>
      </c>
      <c r="BM4">
        <v>0</v>
      </c>
      <c r="BN4">
        <v>187</v>
      </c>
      <c r="BO4">
        <v>148</v>
      </c>
      <c r="BP4">
        <v>79.14</v>
      </c>
      <c r="BQ4">
        <v>40</v>
      </c>
      <c r="BR4">
        <v>26</v>
      </c>
      <c r="BS4">
        <v>65</v>
      </c>
      <c r="BT4">
        <v>95</v>
      </c>
      <c r="BU4">
        <v>74</v>
      </c>
      <c r="BV4">
        <v>77.89</v>
      </c>
      <c r="BW4">
        <v>110</v>
      </c>
      <c r="BX4">
        <v>101</v>
      </c>
      <c r="BY4">
        <v>91.82</v>
      </c>
      <c r="BZ4">
        <v>31</v>
      </c>
      <c r="CA4">
        <v>29</v>
      </c>
      <c r="CB4">
        <v>93.55</v>
      </c>
      <c r="CC4">
        <v>5.51</v>
      </c>
    </row>
    <row r="5" spans="1:81" ht="12" customHeight="1" x14ac:dyDescent="0.15">
      <c r="A5" s="21"/>
      <c r="B5" s="21"/>
      <c r="C5" s="21"/>
      <c r="D5" s="21"/>
      <c r="E5" t="s">
        <v>52</v>
      </c>
      <c r="F5" t="s">
        <v>53</v>
      </c>
      <c r="G5">
        <v>0</v>
      </c>
      <c r="H5">
        <v>0</v>
      </c>
      <c r="I5">
        <v>0</v>
      </c>
      <c r="J5">
        <v>0</v>
      </c>
      <c r="K5">
        <v>0</v>
      </c>
      <c r="L5">
        <v>284</v>
      </c>
      <c r="M5">
        <v>178</v>
      </c>
      <c r="N5">
        <v>62.68</v>
      </c>
      <c r="O5">
        <v>37.46</v>
      </c>
      <c r="P5">
        <v>140</v>
      </c>
      <c r="Q5">
        <v>63</v>
      </c>
      <c r="R5">
        <v>61</v>
      </c>
      <c r="S5">
        <v>16</v>
      </c>
      <c r="T5">
        <v>75</v>
      </c>
      <c r="U5">
        <v>68</v>
      </c>
      <c r="V5">
        <v>6</v>
      </c>
      <c r="W5">
        <v>1</v>
      </c>
      <c r="X5">
        <v>179</v>
      </c>
      <c r="Y5">
        <v>93</v>
      </c>
      <c r="Z5">
        <v>51.96</v>
      </c>
      <c r="AA5">
        <v>0</v>
      </c>
      <c r="AB5">
        <v>0</v>
      </c>
      <c r="AC5">
        <v>0</v>
      </c>
      <c r="AD5">
        <v>2</v>
      </c>
      <c r="AE5">
        <v>0</v>
      </c>
      <c r="AF5">
        <v>0</v>
      </c>
      <c r="AG5">
        <v>42</v>
      </c>
      <c r="AH5">
        <v>0</v>
      </c>
      <c r="AI5">
        <v>0</v>
      </c>
      <c r="AJ5">
        <v>0</v>
      </c>
      <c r="AK5">
        <v>0</v>
      </c>
      <c r="AL5">
        <v>0</v>
      </c>
      <c r="AM5">
        <v>1</v>
      </c>
      <c r="AN5">
        <v>0</v>
      </c>
      <c r="AO5">
        <v>0</v>
      </c>
      <c r="AP5">
        <v>0</v>
      </c>
      <c r="AQ5">
        <v>0</v>
      </c>
      <c r="AR5">
        <v>1</v>
      </c>
      <c r="AS5">
        <v>67</v>
      </c>
      <c r="AT5">
        <v>20</v>
      </c>
      <c r="AU5">
        <v>29.85</v>
      </c>
      <c r="AV5">
        <v>3</v>
      </c>
      <c r="AW5">
        <v>31</v>
      </c>
      <c r="AX5">
        <v>9</v>
      </c>
      <c r="AY5">
        <v>29.03</v>
      </c>
      <c r="AZ5">
        <v>81</v>
      </c>
      <c r="BA5">
        <v>58</v>
      </c>
      <c r="BB5">
        <v>71.599999999999994</v>
      </c>
      <c r="BC5">
        <v>7</v>
      </c>
      <c r="BD5">
        <v>2</v>
      </c>
      <c r="BE5">
        <v>28.57</v>
      </c>
      <c r="BF5">
        <v>2</v>
      </c>
      <c r="BG5">
        <v>0</v>
      </c>
      <c r="BH5">
        <v>0</v>
      </c>
      <c r="BI5">
        <v>49</v>
      </c>
      <c r="BJ5">
        <v>12</v>
      </c>
      <c r="BK5">
        <v>4</v>
      </c>
      <c r="BL5">
        <v>0</v>
      </c>
      <c r="BM5">
        <v>0</v>
      </c>
      <c r="BN5">
        <v>114</v>
      </c>
      <c r="BO5">
        <v>50</v>
      </c>
      <c r="BP5">
        <v>43.86</v>
      </c>
      <c r="BQ5">
        <v>48</v>
      </c>
      <c r="BR5">
        <v>11</v>
      </c>
      <c r="BS5">
        <v>22.92</v>
      </c>
      <c r="BT5">
        <v>15</v>
      </c>
      <c r="BU5">
        <v>6</v>
      </c>
      <c r="BV5">
        <v>40</v>
      </c>
      <c r="BW5">
        <v>80</v>
      </c>
      <c r="BX5">
        <v>11</v>
      </c>
      <c r="BY5">
        <v>13.75</v>
      </c>
      <c r="BZ5">
        <v>17</v>
      </c>
      <c r="CA5">
        <v>7</v>
      </c>
      <c r="CB5">
        <v>41.18</v>
      </c>
      <c r="CC5">
        <v>122.5</v>
      </c>
    </row>
    <row r="6" spans="1:81" ht="12" customHeight="1" x14ac:dyDescent="0.15">
      <c r="A6" s="21" t="s">
        <v>54</v>
      </c>
      <c r="B6" s="21" t="s">
        <v>55</v>
      </c>
      <c r="C6" s="21" t="s">
        <v>50</v>
      </c>
      <c r="D6" s="21">
        <v>95</v>
      </c>
      <c r="E6" t="s">
        <v>46</v>
      </c>
      <c r="F6" t="s">
        <v>56</v>
      </c>
      <c r="G6">
        <v>5</v>
      </c>
      <c r="H6">
        <v>2.25</v>
      </c>
      <c r="I6">
        <v>16</v>
      </c>
      <c r="J6">
        <v>13</v>
      </c>
      <c r="K6">
        <v>81.25</v>
      </c>
      <c r="L6">
        <v>376</v>
      </c>
      <c r="M6">
        <v>265</v>
      </c>
      <c r="N6">
        <v>70.48</v>
      </c>
      <c r="O6">
        <v>55.9</v>
      </c>
      <c r="P6">
        <v>137</v>
      </c>
      <c r="Q6">
        <v>20</v>
      </c>
      <c r="R6">
        <v>48</v>
      </c>
      <c r="S6">
        <v>69</v>
      </c>
      <c r="T6">
        <v>105</v>
      </c>
      <c r="U6">
        <v>39</v>
      </c>
      <c r="V6">
        <v>44</v>
      </c>
      <c r="W6">
        <v>22</v>
      </c>
      <c r="X6">
        <v>242</v>
      </c>
      <c r="Y6">
        <v>126</v>
      </c>
      <c r="Z6">
        <v>52.07</v>
      </c>
      <c r="AA6">
        <v>6</v>
      </c>
      <c r="AB6">
        <v>5</v>
      </c>
      <c r="AC6">
        <v>83.33</v>
      </c>
      <c r="AD6">
        <v>46</v>
      </c>
      <c r="AE6">
        <v>11</v>
      </c>
      <c r="AF6">
        <v>23.91</v>
      </c>
      <c r="AG6">
        <v>17</v>
      </c>
      <c r="AH6">
        <v>5</v>
      </c>
      <c r="AI6">
        <v>29.41</v>
      </c>
      <c r="AJ6">
        <v>5</v>
      </c>
      <c r="AK6">
        <v>3</v>
      </c>
      <c r="AL6">
        <v>60</v>
      </c>
      <c r="AM6">
        <v>14</v>
      </c>
      <c r="AN6">
        <v>2</v>
      </c>
      <c r="AO6">
        <v>14.29</v>
      </c>
      <c r="AP6">
        <v>2</v>
      </c>
      <c r="AQ6">
        <v>7</v>
      </c>
      <c r="AR6">
        <v>28</v>
      </c>
      <c r="AS6">
        <v>99</v>
      </c>
      <c r="AT6">
        <v>37</v>
      </c>
      <c r="AU6">
        <v>37.369999999999997</v>
      </c>
      <c r="AV6">
        <v>0</v>
      </c>
      <c r="AW6">
        <v>5</v>
      </c>
      <c r="AX6">
        <v>1</v>
      </c>
      <c r="AY6">
        <v>20</v>
      </c>
      <c r="AZ6">
        <v>86</v>
      </c>
      <c r="BA6">
        <v>65</v>
      </c>
      <c r="BB6">
        <v>75.58</v>
      </c>
      <c r="BC6">
        <v>25</v>
      </c>
      <c r="BD6">
        <v>12</v>
      </c>
      <c r="BE6">
        <v>48</v>
      </c>
      <c r="BF6">
        <v>3</v>
      </c>
      <c r="BG6">
        <v>0</v>
      </c>
      <c r="BH6">
        <v>0</v>
      </c>
      <c r="BI6">
        <v>67</v>
      </c>
      <c r="BJ6">
        <v>17</v>
      </c>
      <c r="BK6">
        <v>10</v>
      </c>
      <c r="BL6">
        <v>2</v>
      </c>
      <c r="BM6">
        <v>0</v>
      </c>
      <c r="BN6">
        <v>160</v>
      </c>
      <c r="BO6">
        <v>106</v>
      </c>
      <c r="BP6">
        <v>66.25</v>
      </c>
      <c r="BQ6">
        <v>67</v>
      </c>
      <c r="BR6">
        <v>37</v>
      </c>
      <c r="BS6">
        <v>55.22</v>
      </c>
      <c r="BT6">
        <v>60</v>
      </c>
      <c r="BU6">
        <v>36</v>
      </c>
      <c r="BV6">
        <v>60</v>
      </c>
      <c r="BW6">
        <v>82</v>
      </c>
      <c r="BX6">
        <v>49</v>
      </c>
      <c r="BY6">
        <v>59.76</v>
      </c>
      <c r="BZ6">
        <v>34</v>
      </c>
      <c r="CA6">
        <v>29</v>
      </c>
      <c r="CB6">
        <v>85.29</v>
      </c>
      <c r="CC6">
        <v>4.92</v>
      </c>
    </row>
    <row r="7" spans="1:81" ht="12" customHeight="1" x14ac:dyDescent="0.15">
      <c r="A7" s="21"/>
      <c r="B7" s="21"/>
      <c r="C7" s="21"/>
      <c r="D7" s="21"/>
      <c r="E7" t="s">
        <v>57</v>
      </c>
      <c r="F7" t="s">
        <v>58</v>
      </c>
      <c r="G7">
        <v>0</v>
      </c>
      <c r="H7">
        <v>0.13</v>
      </c>
      <c r="I7">
        <v>5</v>
      </c>
      <c r="J7">
        <v>1</v>
      </c>
      <c r="K7">
        <v>20</v>
      </c>
      <c r="L7">
        <v>328</v>
      </c>
      <c r="M7">
        <v>215</v>
      </c>
      <c r="N7">
        <v>65.55</v>
      </c>
      <c r="O7">
        <v>44.1</v>
      </c>
      <c r="P7">
        <v>164</v>
      </c>
      <c r="Q7">
        <v>39</v>
      </c>
      <c r="R7">
        <v>58</v>
      </c>
      <c r="S7">
        <v>67</v>
      </c>
      <c r="T7">
        <v>89</v>
      </c>
      <c r="U7">
        <v>41</v>
      </c>
      <c r="V7">
        <v>36</v>
      </c>
      <c r="W7">
        <v>12</v>
      </c>
      <c r="X7">
        <v>242</v>
      </c>
      <c r="Y7">
        <v>107</v>
      </c>
      <c r="Z7">
        <v>44.21</v>
      </c>
      <c r="AA7">
        <v>4</v>
      </c>
      <c r="AB7">
        <v>1</v>
      </c>
      <c r="AC7">
        <v>25</v>
      </c>
      <c r="AD7">
        <v>29</v>
      </c>
      <c r="AE7">
        <v>4</v>
      </c>
      <c r="AF7">
        <v>13.79</v>
      </c>
      <c r="AG7">
        <v>24</v>
      </c>
      <c r="AH7">
        <v>1</v>
      </c>
      <c r="AI7">
        <v>4.17</v>
      </c>
      <c r="AJ7">
        <v>5</v>
      </c>
      <c r="AK7">
        <v>1</v>
      </c>
      <c r="AL7">
        <v>20</v>
      </c>
      <c r="AM7">
        <v>8</v>
      </c>
      <c r="AN7">
        <v>1</v>
      </c>
      <c r="AO7">
        <v>12.5</v>
      </c>
      <c r="AP7">
        <v>1</v>
      </c>
      <c r="AQ7">
        <v>3</v>
      </c>
      <c r="AR7">
        <v>7</v>
      </c>
      <c r="AS7">
        <v>86</v>
      </c>
      <c r="AT7">
        <v>21</v>
      </c>
      <c r="AU7">
        <v>24.42</v>
      </c>
      <c r="AV7">
        <v>5</v>
      </c>
      <c r="AW7">
        <v>16</v>
      </c>
      <c r="AX7">
        <v>14</v>
      </c>
      <c r="AY7">
        <v>87.5</v>
      </c>
      <c r="AZ7">
        <v>99</v>
      </c>
      <c r="BA7">
        <v>62</v>
      </c>
      <c r="BB7">
        <v>62.63</v>
      </c>
      <c r="BC7">
        <v>25</v>
      </c>
      <c r="BD7">
        <v>9</v>
      </c>
      <c r="BE7">
        <v>36</v>
      </c>
      <c r="BF7">
        <v>3</v>
      </c>
      <c r="BG7">
        <v>2</v>
      </c>
      <c r="BH7">
        <v>66.67</v>
      </c>
      <c r="BI7">
        <v>36</v>
      </c>
      <c r="BJ7">
        <v>20</v>
      </c>
      <c r="BK7">
        <v>8</v>
      </c>
      <c r="BL7">
        <v>2</v>
      </c>
      <c r="BM7">
        <v>0</v>
      </c>
      <c r="BN7">
        <v>144</v>
      </c>
      <c r="BO7">
        <v>73</v>
      </c>
      <c r="BP7">
        <v>50.69</v>
      </c>
      <c r="BQ7">
        <v>79</v>
      </c>
      <c r="BR7">
        <v>37</v>
      </c>
      <c r="BS7">
        <v>46.84</v>
      </c>
      <c r="BT7">
        <v>42</v>
      </c>
      <c r="BU7">
        <v>23</v>
      </c>
      <c r="BV7">
        <v>54.76</v>
      </c>
      <c r="BW7">
        <v>81</v>
      </c>
      <c r="BX7">
        <v>36</v>
      </c>
      <c r="BY7">
        <v>44.44</v>
      </c>
      <c r="BZ7">
        <v>35</v>
      </c>
      <c r="CA7">
        <v>24</v>
      </c>
      <c r="CB7">
        <v>68.569999999999993</v>
      </c>
      <c r="CC7">
        <v>8.9600000000000009</v>
      </c>
    </row>
    <row r="8" spans="1:81" ht="12" customHeight="1" x14ac:dyDescent="0.15">
      <c r="A8" s="21" t="s">
        <v>59</v>
      </c>
      <c r="B8" s="21" t="s">
        <v>60</v>
      </c>
      <c r="C8" s="21" t="s">
        <v>50</v>
      </c>
      <c r="D8" s="21">
        <v>93</v>
      </c>
      <c r="E8" t="s">
        <v>46</v>
      </c>
      <c r="F8" t="s">
        <v>61</v>
      </c>
      <c r="G8">
        <v>1</v>
      </c>
      <c r="H8">
        <v>1</v>
      </c>
      <c r="I8">
        <v>12</v>
      </c>
      <c r="J8">
        <v>6</v>
      </c>
      <c r="K8">
        <v>50</v>
      </c>
      <c r="L8">
        <v>596</v>
      </c>
      <c r="M8">
        <v>453</v>
      </c>
      <c r="N8">
        <v>76.010000000000005</v>
      </c>
      <c r="O8">
        <v>64.13</v>
      </c>
      <c r="P8">
        <v>176</v>
      </c>
      <c r="Q8">
        <v>25</v>
      </c>
      <c r="R8">
        <v>63</v>
      </c>
      <c r="S8">
        <v>88</v>
      </c>
      <c r="T8">
        <v>121</v>
      </c>
      <c r="U8">
        <v>32</v>
      </c>
      <c r="V8">
        <v>63</v>
      </c>
      <c r="W8">
        <v>26</v>
      </c>
      <c r="X8">
        <v>221</v>
      </c>
      <c r="Y8">
        <v>124</v>
      </c>
      <c r="Z8">
        <v>56.11</v>
      </c>
      <c r="AA8">
        <v>7</v>
      </c>
      <c r="AB8">
        <v>4</v>
      </c>
      <c r="AC8">
        <v>57.14</v>
      </c>
      <c r="AD8">
        <v>41</v>
      </c>
      <c r="AE8">
        <v>8</v>
      </c>
      <c r="AF8">
        <v>19.510000000000002</v>
      </c>
      <c r="AG8">
        <v>15</v>
      </c>
      <c r="AH8">
        <v>3</v>
      </c>
      <c r="AI8">
        <v>20</v>
      </c>
      <c r="AJ8">
        <v>9</v>
      </c>
      <c r="AK8">
        <v>2</v>
      </c>
      <c r="AL8">
        <v>22.22</v>
      </c>
      <c r="AM8">
        <v>10</v>
      </c>
      <c r="AN8">
        <v>1</v>
      </c>
      <c r="AO8">
        <v>10</v>
      </c>
      <c r="AP8">
        <v>2</v>
      </c>
      <c r="AQ8">
        <v>6</v>
      </c>
      <c r="AR8">
        <v>12</v>
      </c>
      <c r="AS8">
        <v>82</v>
      </c>
      <c r="AT8">
        <v>25</v>
      </c>
      <c r="AU8">
        <v>30.49</v>
      </c>
      <c r="AV8">
        <v>0</v>
      </c>
      <c r="AW8">
        <v>8</v>
      </c>
      <c r="AX8">
        <v>6</v>
      </c>
      <c r="AY8">
        <v>75</v>
      </c>
      <c r="AZ8">
        <v>110</v>
      </c>
      <c r="BA8">
        <v>85</v>
      </c>
      <c r="BB8">
        <v>77.27</v>
      </c>
      <c r="BC8">
        <v>19</v>
      </c>
      <c r="BD8">
        <v>9</v>
      </c>
      <c r="BE8">
        <v>47.37</v>
      </c>
      <c r="BF8">
        <v>3</v>
      </c>
      <c r="BG8">
        <v>1</v>
      </c>
      <c r="BH8">
        <v>33.33</v>
      </c>
      <c r="BI8">
        <v>62</v>
      </c>
      <c r="BJ8">
        <v>14</v>
      </c>
      <c r="BK8">
        <v>7</v>
      </c>
      <c r="BL8">
        <v>0</v>
      </c>
      <c r="BM8">
        <v>0</v>
      </c>
      <c r="BN8">
        <v>200</v>
      </c>
      <c r="BO8">
        <v>123</v>
      </c>
      <c r="BP8">
        <v>61.5</v>
      </c>
      <c r="BQ8">
        <v>59</v>
      </c>
      <c r="BR8">
        <v>23</v>
      </c>
      <c r="BS8">
        <v>38.979999999999997</v>
      </c>
      <c r="BT8">
        <v>73</v>
      </c>
      <c r="BU8">
        <v>38</v>
      </c>
      <c r="BV8">
        <v>52.05</v>
      </c>
      <c r="BW8">
        <v>79</v>
      </c>
      <c r="BX8">
        <v>47</v>
      </c>
      <c r="BY8">
        <v>59.49</v>
      </c>
      <c r="BZ8">
        <v>44</v>
      </c>
      <c r="CA8">
        <v>29</v>
      </c>
      <c r="CB8">
        <v>65.91</v>
      </c>
      <c r="CC8">
        <v>3.74</v>
      </c>
    </row>
    <row r="9" spans="1:81" ht="12" customHeight="1" x14ac:dyDescent="0.15">
      <c r="A9" s="21"/>
      <c r="B9" s="21"/>
      <c r="C9" s="21"/>
      <c r="D9" s="21"/>
      <c r="E9" t="s">
        <v>62</v>
      </c>
      <c r="F9" t="s">
        <v>51</v>
      </c>
      <c r="G9">
        <v>0</v>
      </c>
      <c r="H9">
        <v>0.38</v>
      </c>
      <c r="I9">
        <v>8</v>
      </c>
      <c r="J9">
        <v>4</v>
      </c>
      <c r="K9">
        <v>50</v>
      </c>
      <c r="L9">
        <v>311</v>
      </c>
      <c r="M9">
        <v>188</v>
      </c>
      <c r="N9">
        <v>60.45</v>
      </c>
      <c r="O9">
        <v>35.869999999999997</v>
      </c>
      <c r="P9">
        <v>183</v>
      </c>
      <c r="Q9">
        <v>34</v>
      </c>
      <c r="R9">
        <v>95</v>
      </c>
      <c r="S9">
        <v>54</v>
      </c>
      <c r="T9">
        <v>102</v>
      </c>
      <c r="U9">
        <v>50</v>
      </c>
      <c r="V9">
        <v>40</v>
      </c>
      <c r="W9">
        <v>12</v>
      </c>
      <c r="X9">
        <v>221</v>
      </c>
      <c r="Y9">
        <v>93</v>
      </c>
      <c r="Z9">
        <v>42.08</v>
      </c>
      <c r="AA9">
        <v>5</v>
      </c>
      <c r="AB9">
        <v>2</v>
      </c>
      <c r="AC9">
        <v>40</v>
      </c>
      <c r="AD9">
        <v>23</v>
      </c>
      <c r="AE9">
        <v>6</v>
      </c>
      <c r="AF9">
        <v>26.09</v>
      </c>
      <c r="AG9">
        <v>22</v>
      </c>
      <c r="AH9">
        <v>1</v>
      </c>
      <c r="AI9">
        <v>4.55</v>
      </c>
      <c r="AJ9">
        <v>3</v>
      </c>
      <c r="AK9">
        <v>0</v>
      </c>
      <c r="AL9">
        <v>0</v>
      </c>
      <c r="AM9">
        <v>6</v>
      </c>
      <c r="AN9">
        <v>1</v>
      </c>
      <c r="AO9">
        <v>16.670000000000002</v>
      </c>
      <c r="AP9">
        <v>1</v>
      </c>
      <c r="AQ9">
        <v>1</v>
      </c>
      <c r="AR9">
        <v>7</v>
      </c>
      <c r="AS9">
        <v>110</v>
      </c>
      <c r="AT9">
        <v>25</v>
      </c>
      <c r="AU9">
        <v>22.73</v>
      </c>
      <c r="AV9">
        <v>1</v>
      </c>
      <c r="AW9">
        <v>12</v>
      </c>
      <c r="AX9">
        <v>6</v>
      </c>
      <c r="AY9">
        <v>50</v>
      </c>
      <c r="AZ9">
        <v>82</v>
      </c>
      <c r="BA9">
        <v>57</v>
      </c>
      <c r="BB9">
        <v>69.510000000000005</v>
      </c>
      <c r="BC9">
        <v>19</v>
      </c>
      <c r="BD9">
        <v>8</v>
      </c>
      <c r="BE9">
        <v>42.11</v>
      </c>
      <c r="BF9">
        <v>0</v>
      </c>
      <c r="BG9">
        <v>0</v>
      </c>
      <c r="BH9">
        <v>0</v>
      </c>
      <c r="BI9">
        <v>62</v>
      </c>
      <c r="BJ9">
        <v>16</v>
      </c>
      <c r="BK9">
        <v>3</v>
      </c>
      <c r="BL9">
        <v>0</v>
      </c>
      <c r="BM9">
        <v>0</v>
      </c>
      <c r="BN9">
        <v>133</v>
      </c>
      <c r="BO9">
        <v>60</v>
      </c>
      <c r="BP9">
        <v>45.11</v>
      </c>
      <c r="BQ9">
        <v>49</v>
      </c>
      <c r="BR9">
        <v>16</v>
      </c>
      <c r="BS9">
        <v>32.65</v>
      </c>
      <c r="BT9">
        <v>37</v>
      </c>
      <c r="BU9">
        <v>16</v>
      </c>
      <c r="BV9">
        <v>43.24</v>
      </c>
      <c r="BW9">
        <v>74</v>
      </c>
      <c r="BX9">
        <v>21</v>
      </c>
      <c r="BY9">
        <v>28.38</v>
      </c>
      <c r="BZ9">
        <v>51</v>
      </c>
      <c r="CA9">
        <v>30</v>
      </c>
      <c r="CB9">
        <v>58.82</v>
      </c>
      <c r="CC9">
        <v>18.32</v>
      </c>
    </row>
    <row r="10" spans="1:81" ht="12" customHeight="1" x14ac:dyDescent="0.15">
      <c r="A10" s="21" t="s">
        <v>63</v>
      </c>
      <c r="B10" s="21" t="s">
        <v>64</v>
      </c>
      <c r="C10" s="21" t="s">
        <v>50</v>
      </c>
      <c r="D10" s="21">
        <v>96</v>
      </c>
      <c r="E10" t="s">
        <v>46</v>
      </c>
      <c r="F10" t="s">
        <v>61</v>
      </c>
      <c r="G10">
        <v>1</v>
      </c>
      <c r="H10">
        <v>1.38</v>
      </c>
      <c r="I10">
        <v>11</v>
      </c>
      <c r="J10">
        <v>6</v>
      </c>
      <c r="K10">
        <v>54.55</v>
      </c>
      <c r="L10">
        <v>386</v>
      </c>
      <c r="M10">
        <v>280</v>
      </c>
      <c r="N10">
        <v>72.540000000000006</v>
      </c>
      <c r="O10">
        <v>45.86</v>
      </c>
      <c r="P10">
        <v>155</v>
      </c>
      <c r="Q10">
        <v>19</v>
      </c>
      <c r="R10">
        <v>60</v>
      </c>
      <c r="S10">
        <v>76</v>
      </c>
      <c r="T10">
        <v>120</v>
      </c>
      <c r="U10">
        <v>47</v>
      </c>
      <c r="V10">
        <v>63</v>
      </c>
      <c r="W10">
        <v>10</v>
      </c>
      <c r="X10">
        <v>259</v>
      </c>
      <c r="Y10">
        <v>141</v>
      </c>
      <c r="Z10">
        <v>54.44</v>
      </c>
      <c r="AA10">
        <v>4</v>
      </c>
      <c r="AB10">
        <v>2</v>
      </c>
      <c r="AC10">
        <v>50</v>
      </c>
      <c r="AD10">
        <v>27</v>
      </c>
      <c r="AE10">
        <v>7</v>
      </c>
      <c r="AF10">
        <v>25.93</v>
      </c>
      <c r="AG10">
        <v>19</v>
      </c>
      <c r="AH10">
        <v>3</v>
      </c>
      <c r="AI10">
        <v>15.79</v>
      </c>
      <c r="AJ10">
        <v>6</v>
      </c>
      <c r="AK10">
        <v>1</v>
      </c>
      <c r="AL10">
        <v>16.670000000000002</v>
      </c>
      <c r="AM10">
        <v>15</v>
      </c>
      <c r="AN10">
        <v>5</v>
      </c>
      <c r="AO10">
        <v>33.33</v>
      </c>
      <c r="AP10">
        <v>4</v>
      </c>
      <c r="AQ10">
        <v>5</v>
      </c>
      <c r="AR10">
        <v>18</v>
      </c>
      <c r="AS10">
        <v>76</v>
      </c>
      <c r="AT10">
        <v>18</v>
      </c>
      <c r="AU10">
        <v>23.68</v>
      </c>
      <c r="AV10">
        <v>1</v>
      </c>
      <c r="AW10">
        <v>6</v>
      </c>
      <c r="AX10">
        <v>1</v>
      </c>
      <c r="AY10">
        <v>16.670000000000002</v>
      </c>
      <c r="AZ10">
        <v>129</v>
      </c>
      <c r="BA10">
        <v>102</v>
      </c>
      <c r="BB10">
        <v>79.069999999999993</v>
      </c>
      <c r="BC10">
        <v>33</v>
      </c>
      <c r="BD10">
        <v>11</v>
      </c>
      <c r="BE10">
        <v>33.33</v>
      </c>
      <c r="BF10">
        <v>1</v>
      </c>
      <c r="BG10">
        <v>1</v>
      </c>
      <c r="BH10">
        <v>100</v>
      </c>
      <c r="BI10">
        <v>51</v>
      </c>
      <c r="BJ10">
        <v>32</v>
      </c>
      <c r="BK10">
        <v>8</v>
      </c>
      <c r="BL10">
        <v>1</v>
      </c>
      <c r="BM10">
        <v>0</v>
      </c>
      <c r="BN10">
        <v>161</v>
      </c>
      <c r="BO10">
        <v>105</v>
      </c>
      <c r="BP10">
        <v>65.22</v>
      </c>
      <c r="BQ10">
        <v>65</v>
      </c>
      <c r="BR10">
        <v>27</v>
      </c>
      <c r="BS10">
        <v>41.54</v>
      </c>
      <c r="BT10">
        <v>61</v>
      </c>
      <c r="BU10">
        <v>32</v>
      </c>
      <c r="BV10">
        <v>52.46</v>
      </c>
      <c r="BW10">
        <v>81</v>
      </c>
      <c r="BX10">
        <v>53</v>
      </c>
      <c r="BY10">
        <v>65.430000000000007</v>
      </c>
      <c r="BZ10">
        <v>26</v>
      </c>
      <c r="CA10">
        <v>17</v>
      </c>
      <c r="CB10">
        <v>65.38</v>
      </c>
      <c r="CC10">
        <v>7.16</v>
      </c>
    </row>
    <row r="11" spans="1:81" ht="12" customHeight="1" x14ac:dyDescent="0.15">
      <c r="A11" s="21"/>
      <c r="B11" s="21"/>
      <c r="C11" s="21"/>
      <c r="D11" s="21"/>
      <c r="E11" t="s">
        <v>65</v>
      </c>
      <c r="F11" t="s">
        <v>51</v>
      </c>
      <c r="G11">
        <v>1</v>
      </c>
      <c r="H11">
        <v>0.6</v>
      </c>
      <c r="I11">
        <v>6</v>
      </c>
      <c r="J11">
        <v>1</v>
      </c>
      <c r="K11">
        <v>16.670000000000002</v>
      </c>
      <c r="L11">
        <v>420</v>
      </c>
      <c r="M11">
        <v>315</v>
      </c>
      <c r="N11">
        <v>75</v>
      </c>
      <c r="O11">
        <v>54.14</v>
      </c>
      <c r="P11">
        <v>157</v>
      </c>
      <c r="Q11">
        <v>21</v>
      </c>
      <c r="R11">
        <v>68</v>
      </c>
      <c r="S11">
        <v>68</v>
      </c>
      <c r="T11">
        <v>105</v>
      </c>
      <c r="U11">
        <v>44</v>
      </c>
      <c r="V11">
        <v>46</v>
      </c>
      <c r="W11">
        <v>15</v>
      </c>
      <c r="X11">
        <v>259</v>
      </c>
      <c r="Y11">
        <v>116</v>
      </c>
      <c r="Z11">
        <v>44.79</v>
      </c>
      <c r="AA11">
        <v>3</v>
      </c>
      <c r="AB11">
        <v>0</v>
      </c>
      <c r="AC11">
        <v>0</v>
      </c>
      <c r="AD11">
        <v>30</v>
      </c>
      <c r="AE11">
        <v>3</v>
      </c>
      <c r="AF11">
        <v>10</v>
      </c>
      <c r="AG11">
        <v>21</v>
      </c>
      <c r="AH11">
        <v>2</v>
      </c>
      <c r="AI11">
        <v>9.52</v>
      </c>
      <c r="AJ11">
        <v>5</v>
      </c>
      <c r="AK11">
        <v>1</v>
      </c>
      <c r="AL11">
        <v>20</v>
      </c>
      <c r="AM11">
        <v>10</v>
      </c>
      <c r="AN11">
        <v>2</v>
      </c>
      <c r="AO11">
        <v>20</v>
      </c>
      <c r="AP11">
        <v>1</v>
      </c>
      <c r="AQ11">
        <v>5</v>
      </c>
      <c r="AR11">
        <v>7</v>
      </c>
      <c r="AS11">
        <v>129</v>
      </c>
      <c r="AT11">
        <v>27</v>
      </c>
      <c r="AU11">
        <v>20.93</v>
      </c>
      <c r="AV11">
        <v>1</v>
      </c>
      <c r="AW11">
        <v>11</v>
      </c>
      <c r="AX11">
        <v>6</v>
      </c>
      <c r="AY11">
        <v>54.55</v>
      </c>
      <c r="AZ11">
        <v>76</v>
      </c>
      <c r="BA11">
        <v>58</v>
      </c>
      <c r="BB11">
        <v>76.319999999999993</v>
      </c>
      <c r="BC11">
        <v>33</v>
      </c>
      <c r="BD11">
        <v>21</v>
      </c>
      <c r="BE11">
        <v>63.64</v>
      </c>
      <c r="BF11">
        <v>7</v>
      </c>
      <c r="BG11">
        <v>5</v>
      </c>
      <c r="BH11">
        <v>71.430000000000007</v>
      </c>
      <c r="BI11">
        <v>48</v>
      </c>
      <c r="BJ11">
        <v>23</v>
      </c>
      <c r="BK11">
        <v>5</v>
      </c>
      <c r="BL11">
        <v>1</v>
      </c>
      <c r="BM11">
        <v>0</v>
      </c>
      <c r="BN11">
        <v>155</v>
      </c>
      <c r="BO11">
        <v>97</v>
      </c>
      <c r="BP11">
        <v>62.58</v>
      </c>
      <c r="BQ11">
        <v>51</v>
      </c>
      <c r="BR11">
        <v>20</v>
      </c>
      <c r="BS11">
        <v>39.22</v>
      </c>
      <c r="BT11">
        <v>58</v>
      </c>
      <c r="BU11">
        <v>31</v>
      </c>
      <c r="BV11">
        <v>53.45</v>
      </c>
      <c r="BW11">
        <v>81</v>
      </c>
      <c r="BX11">
        <v>50</v>
      </c>
      <c r="BY11">
        <v>61.73</v>
      </c>
      <c r="BZ11">
        <v>35</v>
      </c>
      <c r="CA11">
        <v>29</v>
      </c>
      <c r="CB11">
        <v>82.86</v>
      </c>
      <c r="CC11">
        <v>7.69</v>
      </c>
    </row>
    <row r="12" spans="1:81" ht="12" customHeight="1" x14ac:dyDescent="0.15">
      <c r="A12" s="21" t="s">
        <v>66</v>
      </c>
      <c r="B12" s="21" t="s">
        <v>67</v>
      </c>
      <c r="C12" s="21" t="s">
        <v>50</v>
      </c>
      <c r="D12" s="21">
        <v>93</v>
      </c>
      <c r="E12" t="s">
        <v>46</v>
      </c>
      <c r="F12" t="s">
        <v>58</v>
      </c>
      <c r="G12">
        <v>3</v>
      </c>
      <c r="H12">
        <v>1.68</v>
      </c>
      <c r="I12">
        <v>17</v>
      </c>
      <c r="J12">
        <v>8</v>
      </c>
      <c r="K12">
        <v>47.06</v>
      </c>
      <c r="L12">
        <v>366</v>
      </c>
      <c r="M12">
        <v>250</v>
      </c>
      <c r="N12">
        <v>68.31</v>
      </c>
      <c r="O12">
        <v>52</v>
      </c>
      <c r="P12">
        <v>113</v>
      </c>
      <c r="Q12">
        <v>10</v>
      </c>
      <c r="R12">
        <v>41</v>
      </c>
      <c r="S12">
        <v>62</v>
      </c>
      <c r="T12">
        <v>92</v>
      </c>
      <c r="U12">
        <v>29</v>
      </c>
      <c r="V12">
        <v>39</v>
      </c>
      <c r="W12">
        <v>24</v>
      </c>
      <c r="X12">
        <v>203</v>
      </c>
      <c r="Y12">
        <v>106</v>
      </c>
      <c r="Z12">
        <v>52.22</v>
      </c>
      <c r="AA12">
        <v>7</v>
      </c>
      <c r="AB12">
        <v>3</v>
      </c>
      <c r="AC12">
        <v>42.86</v>
      </c>
      <c r="AD12">
        <v>50</v>
      </c>
      <c r="AE12">
        <v>13</v>
      </c>
      <c r="AF12">
        <v>26</v>
      </c>
      <c r="AG12">
        <v>20</v>
      </c>
      <c r="AH12">
        <v>4</v>
      </c>
      <c r="AI12">
        <v>20</v>
      </c>
      <c r="AJ12">
        <v>11</v>
      </c>
      <c r="AK12">
        <v>3</v>
      </c>
      <c r="AL12">
        <v>27.27</v>
      </c>
      <c r="AM12">
        <v>29</v>
      </c>
      <c r="AN12">
        <v>9</v>
      </c>
      <c r="AO12">
        <v>31.03</v>
      </c>
      <c r="AP12">
        <v>11</v>
      </c>
      <c r="AQ12">
        <v>6</v>
      </c>
      <c r="AR12">
        <v>28</v>
      </c>
      <c r="AS12">
        <v>73</v>
      </c>
      <c r="AT12">
        <v>27</v>
      </c>
      <c r="AU12">
        <v>36.99</v>
      </c>
      <c r="AV12">
        <v>1</v>
      </c>
      <c r="AW12">
        <v>4</v>
      </c>
      <c r="AX12">
        <v>4</v>
      </c>
      <c r="AY12">
        <v>100</v>
      </c>
      <c r="AZ12">
        <v>80</v>
      </c>
      <c r="BA12">
        <v>58</v>
      </c>
      <c r="BB12">
        <v>72.5</v>
      </c>
      <c r="BC12">
        <v>19</v>
      </c>
      <c r="BD12">
        <v>10</v>
      </c>
      <c r="BE12">
        <v>52.63</v>
      </c>
      <c r="BF12">
        <v>1</v>
      </c>
      <c r="BG12">
        <v>0</v>
      </c>
      <c r="BH12">
        <v>0</v>
      </c>
      <c r="BI12">
        <v>30</v>
      </c>
      <c r="BJ12">
        <v>16</v>
      </c>
      <c r="BK12">
        <v>6</v>
      </c>
      <c r="BL12">
        <v>0</v>
      </c>
      <c r="BM12">
        <v>0</v>
      </c>
      <c r="BN12">
        <v>149</v>
      </c>
      <c r="BO12">
        <v>88</v>
      </c>
      <c r="BP12">
        <v>59.06</v>
      </c>
      <c r="BQ12">
        <v>53</v>
      </c>
      <c r="BR12">
        <v>23</v>
      </c>
      <c r="BS12">
        <v>43.4</v>
      </c>
      <c r="BT12">
        <v>56</v>
      </c>
      <c r="BU12">
        <v>29</v>
      </c>
      <c r="BV12">
        <v>51.79</v>
      </c>
      <c r="BW12">
        <v>84</v>
      </c>
      <c r="BX12">
        <v>51</v>
      </c>
      <c r="BY12">
        <v>60.71</v>
      </c>
      <c r="BZ12">
        <v>41</v>
      </c>
      <c r="CA12">
        <v>36</v>
      </c>
      <c r="CB12">
        <v>87.8</v>
      </c>
      <c r="CC12">
        <v>6.2</v>
      </c>
    </row>
    <row r="13" spans="1:81" ht="12" customHeight="1" x14ac:dyDescent="0.15">
      <c r="A13" s="21"/>
      <c r="B13" s="21"/>
      <c r="C13" s="21"/>
      <c r="D13" s="21"/>
      <c r="E13" t="s">
        <v>68</v>
      </c>
      <c r="F13" t="s">
        <v>56</v>
      </c>
      <c r="G13">
        <v>1</v>
      </c>
      <c r="H13">
        <v>0.23</v>
      </c>
      <c r="I13">
        <v>4</v>
      </c>
      <c r="J13">
        <v>4</v>
      </c>
      <c r="K13">
        <v>100</v>
      </c>
      <c r="L13">
        <v>281</v>
      </c>
      <c r="M13">
        <v>185</v>
      </c>
      <c r="N13">
        <v>65.84</v>
      </c>
      <c r="O13">
        <v>48</v>
      </c>
      <c r="P13">
        <v>150</v>
      </c>
      <c r="Q13">
        <v>33</v>
      </c>
      <c r="R13">
        <v>67</v>
      </c>
      <c r="S13">
        <v>50</v>
      </c>
      <c r="T13">
        <v>75</v>
      </c>
      <c r="U13">
        <v>40</v>
      </c>
      <c r="V13">
        <v>31</v>
      </c>
      <c r="W13">
        <v>4</v>
      </c>
      <c r="X13">
        <v>203</v>
      </c>
      <c r="Y13">
        <v>93</v>
      </c>
      <c r="Z13">
        <v>45.81</v>
      </c>
      <c r="AA13">
        <v>3</v>
      </c>
      <c r="AB13">
        <v>3</v>
      </c>
      <c r="AC13">
        <v>100</v>
      </c>
      <c r="AD13">
        <v>19</v>
      </c>
      <c r="AE13">
        <v>1</v>
      </c>
      <c r="AF13">
        <v>5.26</v>
      </c>
      <c r="AG13">
        <v>32</v>
      </c>
      <c r="AH13">
        <v>2</v>
      </c>
      <c r="AI13">
        <v>6.25</v>
      </c>
      <c r="AJ13">
        <v>3</v>
      </c>
      <c r="AK13">
        <v>0</v>
      </c>
      <c r="AL13">
        <v>0</v>
      </c>
      <c r="AM13">
        <v>10</v>
      </c>
      <c r="AN13">
        <v>1</v>
      </c>
      <c r="AO13">
        <v>10</v>
      </c>
      <c r="AP13">
        <v>1</v>
      </c>
      <c r="AQ13">
        <v>0</v>
      </c>
      <c r="AR13">
        <v>3</v>
      </c>
      <c r="AS13">
        <v>80</v>
      </c>
      <c r="AT13">
        <v>22</v>
      </c>
      <c r="AU13">
        <v>27.5</v>
      </c>
      <c r="AV13">
        <v>3</v>
      </c>
      <c r="AW13">
        <v>17</v>
      </c>
      <c r="AX13">
        <v>8</v>
      </c>
      <c r="AY13">
        <v>47.06</v>
      </c>
      <c r="AZ13">
        <v>73</v>
      </c>
      <c r="BA13">
        <v>46</v>
      </c>
      <c r="BB13">
        <v>63.01</v>
      </c>
      <c r="BC13">
        <v>19</v>
      </c>
      <c r="BD13">
        <v>9</v>
      </c>
      <c r="BE13">
        <v>47.37</v>
      </c>
      <c r="BF13">
        <v>4</v>
      </c>
      <c r="BG13">
        <v>2</v>
      </c>
      <c r="BH13">
        <v>50</v>
      </c>
      <c r="BI13">
        <v>60</v>
      </c>
      <c r="BJ13">
        <v>22</v>
      </c>
      <c r="BK13">
        <v>5</v>
      </c>
      <c r="BL13">
        <v>0</v>
      </c>
      <c r="BM13">
        <v>0</v>
      </c>
      <c r="BN13">
        <v>116</v>
      </c>
      <c r="BO13">
        <v>65</v>
      </c>
      <c r="BP13">
        <v>56.03</v>
      </c>
      <c r="BQ13">
        <v>57</v>
      </c>
      <c r="BR13">
        <v>23</v>
      </c>
      <c r="BS13">
        <v>40.35</v>
      </c>
      <c r="BT13">
        <v>44</v>
      </c>
      <c r="BU13">
        <v>23</v>
      </c>
      <c r="BV13">
        <v>52.27</v>
      </c>
      <c r="BW13">
        <v>68</v>
      </c>
      <c r="BX13">
        <v>34</v>
      </c>
      <c r="BY13">
        <v>50</v>
      </c>
      <c r="BZ13">
        <v>31</v>
      </c>
      <c r="CA13">
        <v>22</v>
      </c>
      <c r="CB13">
        <v>70.97</v>
      </c>
      <c r="CC13">
        <v>11.41</v>
      </c>
    </row>
    <row r="14" spans="1:81" ht="12" customHeight="1" x14ac:dyDescent="0.15">
      <c r="A14" s="21" t="s">
        <v>69</v>
      </c>
      <c r="B14" s="21" t="s">
        <v>70</v>
      </c>
      <c r="C14" s="21" t="s">
        <v>50</v>
      </c>
      <c r="D14" s="21">
        <v>99</v>
      </c>
      <c r="E14" t="s">
        <v>46</v>
      </c>
      <c r="F14" t="s">
        <v>61</v>
      </c>
      <c r="G14">
        <v>0</v>
      </c>
      <c r="H14">
        <v>1.24</v>
      </c>
      <c r="I14">
        <v>13</v>
      </c>
      <c r="J14">
        <v>4</v>
      </c>
      <c r="K14">
        <v>30.77</v>
      </c>
      <c r="L14">
        <v>391</v>
      </c>
      <c r="M14">
        <v>281</v>
      </c>
      <c r="N14">
        <v>71.87</v>
      </c>
      <c r="O14">
        <v>39.92</v>
      </c>
      <c r="P14">
        <v>137</v>
      </c>
      <c r="Q14">
        <v>17</v>
      </c>
      <c r="R14">
        <v>60</v>
      </c>
      <c r="S14">
        <v>60</v>
      </c>
      <c r="T14">
        <v>115</v>
      </c>
      <c r="U14">
        <v>55</v>
      </c>
      <c r="V14">
        <v>37</v>
      </c>
      <c r="W14">
        <v>23</v>
      </c>
      <c r="X14">
        <v>200</v>
      </c>
      <c r="Y14">
        <v>98</v>
      </c>
      <c r="Z14">
        <v>49</v>
      </c>
      <c r="AA14">
        <v>4</v>
      </c>
      <c r="AB14">
        <v>2</v>
      </c>
      <c r="AC14">
        <v>50</v>
      </c>
      <c r="AD14">
        <v>34</v>
      </c>
      <c r="AE14">
        <v>12</v>
      </c>
      <c r="AF14">
        <v>35.29</v>
      </c>
      <c r="AG14">
        <v>20</v>
      </c>
      <c r="AH14">
        <v>1</v>
      </c>
      <c r="AI14">
        <v>5</v>
      </c>
      <c r="AJ14">
        <v>4</v>
      </c>
      <c r="AK14">
        <v>1</v>
      </c>
      <c r="AL14">
        <v>25</v>
      </c>
      <c r="AM14">
        <v>17</v>
      </c>
      <c r="AN14">
        <v>8</v>
      </c>
      <c r="AO14">
        <v>47.06</v>
      </c>
      <c r="AP14">
        <v>7</v>
      </c>
      <c r="AQ14">
        <v>3</v>
      </c>
      <c r="AR14">
        <v>16</v>
      </c>
      <c r="AS14">
        <v>68</v>
      </c>
      <c r="AT14">
        <v>22</v>
      </c>
      <c r="AU14">
        <v>32.35</v>
      </c>
      <c r="AV14">
        <v>0</v>
      </c>
      <c r="AW14">
        <v>10</v>
      </c>
      <c r="AX14">
        <v>4</v>
      </c>
      <c r="AY14">
        <v>40</v>
      </c>
      <c r="AZ14">
        <v>83</v>
      </c>
      <c r="BA14">
        <v>56</v>
      </c>
      <c r="BB14">
        <v>67.47</v>
      </c>
      <c r="BC14">
        <v>16</v>
      </c>
      <c r="BD14">
        <v>6</v>
      </c>
      <c r="BE14">
        <v>37.5</v>
      </c>
      <c r="BF14">
        <v>0</v>
      </c>
      <c r="BG14">
        <v>0</v>
      </c>
      <c r="BH14">
        <v>0</v>
      </c>
      <c r="BI14">
        <v>60</v>
      </c>
      <c r="BJ14">
        <v>14</v>
      </c>
      <c r="BK14">
        <v>10</v>
      </c>
      <c r="BL14">
        <v>2</v>
      </c>
      <c r="BM14">
        <v>0</v>
      </c>
      <c r="BN14">
        <v>181</v>
      </c>
      <c r="BO14">
        <v>108</v>
      </c>
      <c r="BP14">
        <v>59.67</v>
      </c>
      <c r="BQ14">
        <v>70</v>
      </c>
      <c r="BR14">
        <v>27</v>
      </c>
      <c r="BS14">
        <v>38.57</v>
      </c>
      <c r="BT14">
        <v>49</v>
      </c>
      <c r="BU14">
        <v>25</v>
      </c>
      <c r="BV14">
        <v>51.02</v>
      </c>
      <c r="BW14">
        <v>92</v>
      </c>
      <c r="BX14">
        <v>48</v>
      </c>
      <c r="BY14">
        <v>52.17</v>
      </c>
      <c r="BZ14">
        <v>23</v>
      </c>
      <c r="CA14">
        <v>18</v>
      </c>
      <c r="CB14">
        <v>78.260000000000005</v>
      </c>
      <c r="CC14">
        <v>9.02</v>
      </c>
    </row>
    <row r="15" spans="1:81" ht="12" customHeight="1" x14ac:dyDescent="0.15">
      <c r="A15" s="21"/>
      <c r="B15" s="21"/>
      <c r="C15" s="21"/>
      <c r="D15" s="21"/>
      <c r="E15" t="s">
        <v>71</v>
      </c>
      <c r="F15" t="s">
        <v>72</v>
      </c>
      <c r="G15">
        <v>0</v>
      </c>
      <c r="H15">
        <v>0.73</v>
      </c>
      <c r="I15">
        <v>10</v>
      </c>
      <c r="J15">
        <v>4</v>
      </c>
      <c r="K15">
        <v>40</v>
      </c>
      <c r="L15">
        <v>503</v>
      </c>
      <c r="M15">
        <v>371</v>
      </c>
      <c r="N15">
        <v>73.760000000000005</v>
      </c>
      <c r="O15">
        <v>60.08</v>
      </c>
      <c r="P15">
        <v>162</v>
      </c>
      <c r="Q15">
        <v>31</v>
      </c>
      <c r="R15">
        <v>52</v>
      </c>
      <c r="S15">
        <v>79</v>
      </c>
      <c r="T15">
        <v>104</v>
      </c>
      <c r="U15">
        <v>41</v>
      </c>
      <c r="V15">
        <v>53</v>
      </c>
      <c r="W15">
        <v>10</v>
      </c>
      <c r="X15">
        <v>200</v>
      </c>
      <c r="Y15">
        <v>99</v>
      </c>
      <c r="Z15">
        <v>49.5</v>
      </c>
      <c r="AA15">
        <v>5</v>
      </c>
      <c r="AB15">
        <v>1</v>
      </c>
      <c r="AC15">
        <v>20</v>
      </c>
      <c r="AD15">
        <v>41</v>
      </c>
      <c r="AE15">
        <v>6</v>
      </c>
      <c r="AF15">
        <v>14.63</v>
      </c>
      <c r="AG15">
        <v>25</v>
      </c>
      <c r="AH15">
        <v>4</v>
      </c>
      <c r="AI15">
        <v>16</v>
      </c>
      <c r="AJ15">
        <v>4</v>
      </c>
      <c r="AK15">
        <v>1</v>
      </c>
      <c r="AL15">
        <v>25</v>
      </c>
      <c r="AM15">
        <v>20</v>
      </c>
      <c r="AN15">
        <v>4</v>
      </c>
      <c r="AO15">
        <v>20</v>
      </c>
      <c r="AP15">
        <v>4</v>
      </c>
      <c r="AQ15">
        <v>3</v>
      </c>
      <c r="AR15">
        <v>13</v>
      </c>
      <c r="AS15">
        <v>83</v>
      </c>
      <c r="AT15">
        <v>27</v>
      </c>
      <c r="AU15">
        <v>32.53</v>
      </c>
      <c r="AV15">
        <v>0</v>
      </c>
      <c r="AW15">
        <v>13</v>
      </c>
      <c r="AX15">
        <v>4</v>
      </c>
      <c r="AY15">
        <v>30.77</v>
      </c>
      <c r="AZ15">
        <v>68</v>
      </c>
      <c r="BA15">
        <v>46</v>
      </c>
      <c r="BB15">
        <v>67.650000000000006</v>
      </c>
      <c r="BC15">
        <v>16</v>
      </c>
      <c r="BD15">
        <v>9</v>
      </c>
      <c r="BE15">
        <v>56.25</v>
      </c>
      <c r="BF15">
        <v>0</v>
      </c>
      <c r="BG15">
        <v>0</v>
      </c>
      <c r="BH15">
        <v>0</v>
      </c>
      <c r="BI15">
        <v>33</v>
      </c>
      <c r="BJ15">
        <v>11</v>
      </c>
      <c r="BK15">
        <v>6</v>
      </c>
      <c r="BL15">
        <v>1</v>
      </c>
      <c r="BM15">
        <v>0</v>
      </c>
      <c r="BN15">
        <v>184</v>
      </c>
      <c r="BO15">
        <v>107</v>
      </c>
      <c r="BP15">
        <v>58.15</v>
      </c>
      <c r="BQ15">
        <v>53</v>
      </c>
      <c r="BR15">
        <v>19</v>
      </c>
      <c r="BS15">
        <v>35.85</v>
      </c>
      <c r="BT15">
        <v>70</v>
      </c>
      <c r="BU15">
        <v>38</v>
      </c>
      <c r="BV15">
        <v>54.29</v>
      </c>
      <c r="BW15">
        <v>84</v>
      </c>
      <c r="BX15">
        <v>49</v>
      </c>
      <c r="BY15">
        <v>58.33</v>
      </c>
      <c r="BZ15">
        <v>35</v>
      </c>
      <c r="CA15">
        <v>32</v>
      </c>
      <c r="CB15">
        <v>91.43</v>
      </c>
      <c r="CC15">
        <v>12.58</v>
      </c>
    </row>
    <row r="16" spans="1:81" ht="12" customHeight="1" x14ac:dyDescent="0.15">
      <c r="A16" s="21" t="s">
        <v>73</v>
      </c>
      <c r="B16" s="21" t="s">
        <v>74</v>
      </c>
      <c r="C16" s="21" t="s">
        <v>50</v>
      </c>
      <c r="D16" s="21">
        <v>95</v>
      </c>
      <c r="E16" t="s">
        <v>46</v>
      </c>
      <c r="F16" t="s">
        <v>75</v>
      </c>
      <c r="G16">
        <v>0</v>
      </c>
      <c r="H16">
        <v>0.53</v>
      </c>
      <c r="I16">
        <v>10</v>
      </c>
      <c r="J16">
        <v>3</v>
      </c>
      <c r="K16">
        <v>30</v>
      </c>
      <c r="L16">
        <v>516</v>
      </c>
      <c r="M16">
        <v>416</v>
      </c>
      <c r="N16">
        <v>80.62</v>
      </c>
      <c r="O16">
        <v>51.92</v>
      </c>
      <c r="P16">
        <v>128</v>
      </c>
      <c r="Q16">
        <v>18</v>
      </c>
      <c r="R16">
        <v>53</v>
      </c>
      <c r="S16">
        <v>57</v>
      </c>
      <c r="T16">
        <v>97</v>
      </c>
      <c r="U16">
        <v>54</v>
      </c>
      <c r="V16">
        <v>32</v>
      </c>
      <c r="W16">
        <v>11</v>
      </c>
      <c r="X16">
        <v>173</v>
      </c>
      <c r="Y16">
        <v>87</v>
      </c>
      <c r="Z16">
        <v>50.29</v>
      </c>
      <c r="AA16">
        <v>5</v>
      </c>
      <c r="AB16">
        <v>2</v>
      </c>
      <c r="AC16">
        <v>40</v>
      </c>
      <c r="AD16">
        <v>31</v>
      </c>
      <c r="AE16">
        <v>9</v>
      </c>
      <c r="AF16">
        <v>29.03</v>
      </c>
      <c r="AG16">
        <v>15</v>
      </c>
      <c r="AH16">
        <v>0</v>
      </c>
      <c r="AI16">
        <v>0</v>
      </c>
      <c r="AJ16">
        <v>3</v>
      </c>
      <c r="AK16">
        <v>0</v>
      </c>
      <c r="AL16">
        <v>0</v>
      </c>
      <c r="AM16">
        <v>13</v>
      </c>
      <c r="AN16">
        <v>4</v>
      </c>
      <c r="AO16">
        <v>30.77</v>
      </c>
      <c r="AP16">
        <v>3</v>
      </c>
      <c r="AQ16">
        <v>5</v>
      </c>
      <c r="AR16">
        <v>14</v>
      </c>
      <c r="AS16">
        <v>57</v>
      </c>
      <c r="AT16">
        <v>20</v>
      </c>
      <c r="AU16">
        <v>35.090000000000003</v>
      </c>
      <c r="AV16">
        <v>0</v>
      </c>
      <c r="AW16">
        <v>8</v>
      </c>
      <c r="AX16">
        <v>0</v>
      </c>
      <c r="AY16">
        <v>0</v>
      </c>
      <c r="AZ16">
        <v>77</v>
      </c>
      <c r="BA16">
        <v>49</v>
      </c>
      <c r="BB16">
        <v>63.64</v>
      </c>
      <c r="BC16">
        <v>11</v>
      </c>
      <c r="BD16">
        <v>2</v>
      </c>
      <c r="BE16">
        <v>18.18</v>
      </c>
      <c r="BF16">
        <v>3</v>
      </c>
      <c r="BG16">
        <v>3</v>
      </c>
      <c r="BH16">
        <v>100</v>
      </c>
      <c r="BI16">
        <v>60</v>
      </c>
      <c r="BJ16">
        <v>25</v>
      </c>
      <c r="BK16">
        <v>7</v>
      </c>
      <c r="BL16">
        <v>0</v>
      </c>
      <c r="BM16">
        <v>0</v>
      </c>
      <c r="BN16">
        <v>172</v>
      </c>
      <c r="BO16">
        <v>111</v>
      </c>
      <c r="BP16">
        <v>64.53</v>
      </c>
      <c r="BQ16">
        <v>54</v>
      </c>
      <c r="BR16">
        <v>23</v>
      </c>
      <c r="BS16">
        <v>42.59</v>
      </c>
      <c r="BT16">
        <v>61</v>
      </c>
      <c r="BU16">
        <v>29</v>
      </c>
      <c r="BV16">
        <v>47.54</v>
      </c>
      <c r="BW16">
        <v>71</v>
      </c>
      <c r="BX16">
        <v>51</v>
      </c>
      <c r="BY16">
        <v>71.83</v>
      </c>
      <c r="BZ16">
        <v>19</v>
      </c>
      <c r="CA16">
        <v>16</v>
      </c>
      <c r="CB16">
        <v>84.21</v>
      </c>
      <c r="CC16">
        <v>10.93</v>
      </c>
    </row>
    <row r="17" spans="1:81" ht="12" customHeight="1" x14ac:dyDescent="0.15">
      <c r="A17" s="21"/>
      <c r="B17" s="21"/>
      <c r="C17" s="21"/>
      <c r="D17" s="21"/>
      <c r="E17" t="s">
        <v>76</v>
      </c>
      <c r="F17" t="s">
        <v>56</v>
      </c>
      <c r="G17">
        <v>0</v>
      </c>
      <c r="H17">
        <v>0.39</v>
      </c>
      <c r="I17">
        <v>8</v>
      </c>
      <c r="J17">
        <v>0</v>
      </c>
      <c r="K17">
        <v>0</v>
      </c>
      <c r="L17">
        <v>417</v>
      </c>
      <c r="M17">
        <v>314</v>
      </c>
      <c r="N17">
        <v>75.3</v>
      </c>
      <c r="O17">
        <v>48.08</v>
      </c>
      <c r="P17">
        <v>144</v>
      </c>
      <c r="Q17">
        <v>26</v>
      </c>
      <c r="R17">
        <v>35</v>
      </c>
      <c r="S17">
        <v>83</v>
      </c>
      <c r="T17">
        <v>79</v>
      </c>
      <c r="U17">
        <v>36</v>
      </c>
      <c r="V17">
        <v>38</v>
      </c>
      <c r="W17">
        <v>5</v>
      </c>
      <c r="X17">
        <v>173</v>
      </c>
      <c r="Y17">
        <v>81</v>
      </c>
      <c r="Z17">
        <v>46.82</v>
      </c>
      <c r="AA17">
        <v>6</v>
      </c>
      <c r="AB17">
        <v>0</v>
      </c>
      <c r="AC17">
        <v>0</v>
      </c>
      <c r="AD17">
        <v>33</v>
      </c>
      <c r="AE17">
        <v>5</v>
      </c>
      <c r="AF17">
        <v>15.15</v>
      </c>
      <c r="AG17">
        <v>20</v>
      </c>
      <c r="AH17">
        <v>3</v>
      </c>
      <c r="AI17">
        <v>15</v>
      </c>
      <c r="AJ17">
        <v>5</v>
      </c>
      <c r="AK17">
        <v>1</v>
      </c>
      <c r="AL17">
        <v>20</v>
      </c>
      <c r="AM17">
        <v>16</v>
      </c>
      <c r="AN17">
        <v>3</v>
      </c>
      <c r="AO17">
        <v>18.75</v>
      </c>
      <c r="AP17">
        <v>5</v>
      </c>
      <c r="AQ17">
        <v>2</v>
      </c>
      <c r="AR17">
        <v>9</v>
      </c>
      <c r="AS17">
        <v>77</v>
      </c>
      <c r="AT17">
        <v>28</v>
      </c>
      <c r="AU17">
        <v>36.36</v>
      </c>
      <c r="AV17">
        <v>0</v>
      </c>
      <c r="AW17">
        <v>10</v>
      </c>
      <c r="AX17">
        <v>6</v>
      </c>
      <c r="AY17">
        <v>60</v>
      </c>
      <c r="AZ17">
        <v>57</v>
      </c>
      <c r="BA17">
        <v>37</v>
      </c>
      <c r="BB17">
        <v>64.91</v>
      </c>
      <c r="BC17">
        <v>11</v>
      </c>
      <c r="BD17">
        <v>8</v>
      </c>
      <c r="BE17">
        <v>72.73</v>
      </c>
      <c r="BF17">
        <v>0</v>
      </c>
      <c r="BG17">
        <v>0</v>
      </c>
      <c r="BH17">
        <v>0</v>
      </c>
      <c r="BI17">
        <v>37</v>
      </c>
      <c r="BJ17">
        <v>13</v>
      </c>
      <c r="BK17">
        <v>4</v>
      </c>
      <c r="BL17">
        <v>1</v>
      </c>
      <c r="BM17">
        <v>0</v>
      </c>
      <c r="BN17">
        <v>164</v>
      </c>
      <c r="BO17">
        <v>108</v>
      </c>
      <c r="BP17">
        <v>65.849999999999994</v>
      </c>
      <c r="BQ17">
        <v>34</v>
      </c>
      <c r="BR17">
        <v>16</v>
      </c>
      <c r="BS17">
        <v>47.06</v>
      </c>
      <c r="BT17">
        <v>60</v>
      </c>
      <c r="BU17">
        <v>33</v>
      </c>
      <c r="BV17">
        <v>55</v>
      </c>
      <c r="BW17">
        <v>68</v>
      </c>
      <c r="BX17">
        <v>43</v>
      </c>
      <c r="BY17">
        <v>63.24</v>
      </c>
      <c r="BZ17">
        <v>42</v>
      </c>
      <c r="CA17">
        <v>33</v>
      </c>
      <c r="CB17">
        <v>78.569999999999993</v>
      </c>
      <c r="CC17">
        <v>14.72</v>
      </c>
    </row>
    <row r="18" spans="1:81" ht="12" customHeight="1" x14ac:dyDescent="0.15">
      <c r="A18" s="21" t="s">
        <v>77</v>
      </c>
      <c r="B18" s="21" t="s">
        <v>78</v>
      </c>
      <c r="C18" s="21" t="s">
        <v>50</v>
      </c>
      <c r="D18" s="21">
        <v>94</v>
      </c>
      <c r="E18" t="s">
        <v>46</v>
      </c>
      <c r="F18" t="s">
        <v>61</v>
      </c>
      <c r="G18">
        <v>2</v>
      </c>
      <c r="H18">
        <v>1.84</v>
      </c>
      <c r="I18">
        <v>30</v>
      </c>
      <c r="J18">
        <v>8</v>
      </c>
      <c r="K18">
        <v>26.67</v>
      </c>
      <c r="L18">
        <v>472</v>
      </c>
      <c r="M18">
        <v>372</v>
      </c>
      <c r="N18">
        <v>78.81</v>
      </c>
      <c r="O18">
        <v>59.94</v>
      </c>
      <c r="P18">
        <v>112</v>
      </c>
      <c r="Q18">
        <v>10</v>
      </c>
      <c r="R18">
        <v>35</v>
      </c>
      <c r="S18">
        <v>67</v>
      </c>
      <c r="T18">
        <v>100</v>
      </c>
      <c r="U18">
        <v>19</v>
      </c>
      <c r="V18">
        <v>54</v>
      </c>
      <c r="W18">
        <v>27</v>
      </c>
      <c r="X18">
        <v>198</v>
      </c>
      <c r="Y18">
        <v>121</v>
      </c>
      <c r="Z18">
        <v>61.11</v>
      </c>
      <c r="AA18">
        <v>18</v>
      </c>
      <c r="AB18">
        <v>4</v>
      </c>
      <c r="AC18">
        <v>22.22</v>
      </c>
      <c r="AD18">
        <v>56</v>
      </c>
      <c r="AE18">
        <v>23</v>
      </c>
      <c r="AF18">
        <v>41.07</v>
      </c>
      <c r="AG18">
        <v>20</v>
      </c>
      <c r="AH18">
        <v>5</v>
      </c>
      <c r="AI18">
        <v>25</v>
      </c>
      <c r="AJ18">
        <v>8</v>
      </c>
      <c r="AK18">
        <v>3</v>
      </c>
      <c r="AL18">
        <v>37.5</v>
      </c>
      <c r="AM18">
        <v>21</v>
      </c>
      <c r="AN18">
        <v>5</v>
      </c>
      <c r="AO18">
        <v>23.81</v>
      </c>
      <c r="AP18">
        <v>7</v>
      </c>
      <c r="AQ18">
        <v>10</v>
      </c>
      <c r="AR18">
        <v>24</v>
      </c>
      <c r="AS18">
        <v>79</v>
      </c>
      <c r="AT18">
        <v>33</v>
      </c>
      <c r="AU18">
        <v>41.77</v>
      </c>
      <c r="AV18">
        <v>0</v>
      </c>
      <c r="AW18">
        <v>7</v>
      </c>
      <c r="AX18">
        <v>2</v>
      </c>
      <c r="AY18">
        <v>28.57</v>
      </c>
      <c r="AZ18">
        <v>85</v>
      </c>
      <c r="BA18">
        <v>65</v>
      </c>
      <c r="BB18">
        <v>76.47</v>
      </c>
      <c r="BC18">
        <v>9</v>
      </c>
      <c r="BD18">
        <v>7</v>
      </c>
      <c r="BE18">
        <v>77.78</v>
      </c>
      <c r="BF18">
        <v>2</v>
      </c>
      <c r="BG18">
        <v>1</v>
      </c>
      <c r="BH18">
        <v>50</v>
      </c>
      <c r="BI18">
        <v>48</v>
      </c>
      <c r="BJ18">
        <v>17</v>
      </c>
      <c r="BK18">
        <v>9</v>
      </c>
      <c r="BL18">
        <v>0</v>
      </c>
      <c r="BM18">
        <v>0</v>
      </c>
      <c r="BN18">
        <v>165</v>
      </c>
      <c r="BO18">
        <v>120</v>
      </c>
      <c r="BP18">
        <v>72.73</v>
      </c>
      <c r="BQ18">
        <v>39</v>
      </c>
      <c r="BR18">
        <v>18</v>
      </c>
      <c r="BS18">
        <v>46.15</v>
      </c>
      <c r="BT18">
        <v>78</v>
      </c>
      <c r="BU18">
        <v>54</v>
      </c>
      <c r="BV18">
        <v>69.23</v>
      </c>
      <c r="BW18">
        <v>98</v>
      </c>
      <c r="BX18">
        <v>76</v>
      </c>
      <c r="BY18">
        <v>77.55</v>
      </c>
      <c r="BZ18">
        <v>25</v>
      </c>
      <c r="CA18">
        <v>19</v>
      </c>
      <c r="CB18">
        <v>76</v>
      </c>
      <c r="CC18">
        <v>4.37</v>
      </c>
    </row>
    <row r="19" spans="1:81" ht="12" customHeight="1" x14ac:dyDescent="0.15">
      <c r="A19" s="21"/>
      <c r="B19" s="21"/>
      <c r="C19" s="21"/>
      <c r="D19" s="21"/>
      <c r="E19" t="s">
        <v>52</v>
      </c>
      <c r="F19" t="s">
        <v>53</v>
      </c>
      <c r="G19">
        <v>0</v>
      </c>
      <c r="H19">
        <v>0.4</v>
      </c>
      <c r="I19">
        <v>7</v>
      </c>
      <c r="J19">
        <v>2</v>
      </c>
      <c r="K19">
        <v>28.57</v>
      </c>
      <c r="L19">
        <v>316</v>
      </c>
      <c r="M19">
        <v>221</v>
      </c>
      <c r="N19">
        <v>69.94</v>
      </c>
      <c r="O19">
        <v>40.06</v>
      </c>
      <c r="P19">
        <v>134</v>
      </c>
      <c r="Q19">
        <v>38</v>
      </c>
      <c r="R19">
        <v>68</v>
      </c>
      <c r="S19">
        <v>28</v>
      </c>
      <c r="T19">
        <v>72</v>
      </c>
      <c r="U19">
        <v>44</v>
      </c>
      <c r="V19">
        <v>20</v>
      </c>
      <c r="W19">
        <v>8</v>
      </c>
      <c r="X19">
        <v>198</v>
      </c>
      <c r="Y19">
        <v>74</v>
      </c>
      <c r="Z19">
        <v>37.369999999999997</v>
      </c>
      <c r="AA19">
        <v>4</v>
      </c>
      <c r="AB19">
        <v>0</v>
      </c>
      <c r="AC19">
        <v>0</v>
      </c>
      <c r="AD19">
        <v>19</v>
      </c>
      <c r="AE19">
        <v>6</v>
      </c>
      <c r="AF19">
        <v>31.58</v>
      </c>
      <c r="AG19">
        <v>41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9</v>
      </c>
      <c r="AN19">
        <v>3</v>
      </c>
      <c r="AO19">
        <v>33.33</v>
      </c>
      <c r="AP19">
        <v>4</v>
      </c>
      <c r="AQ19">
        <v>3</v>
      </c>
      <c r="AR19">
        <v>6</v>
      </c>
      <c r="AS19">
        <v>85</v>
      </c>
      <c r="AT19">
        <v>20</v>
      </c>
      <c r="AU19">
        <v>23.53</v>
      </c>
      <c r="AV19">
        <v>2</v>
      </c>
      <c r="AW19">
        <v>30</v>
      </c>
      <c r="AX19">
        <v>8</v>
      </c>
      <c r="AY19">
        <v>26.67</v>
      </c>
      <c r="AZ19">
        <v>79</v>
      </c>
      <c r="BA19">
        <v>46</v>
      </c>
      <c r="BB19">
        <v>58.23</v>
      </c>
      <c r="BC19">
        <v>9</v>
      </c>
      <c r="BD19">
        <v>1</v>
      </c>
      <c r="BE19">
        <v>11.11</v>
      </c>
      <c r="BF19">
        <v>3</v>
      </c>
      <c r="BG19">
        <v>1</v>
      </c>
      <c r="BH19">
        <v>33.33</v>
      </c>
      <c r="BI19">
        <v>51</v>
      </c>
      <c r="BJ19">
        <v>20</v>
      </c>
      <c r="BK19">
        <v>7</v>
      </c>
      <c r="BL19">
        <v>1</v>
      </c>
      <c r="BM19">
        <v>0</v>
      </c>
      <c r="BN19">
        <v>153</v>
      </c>
      <c r="BO19">
        <v>94</v>
      </c>
      <c r="BP19">
        <v>61.44</v>
      </c>
      <c r="BQ19">
        <v>40</v>
      </c>
      <c r="BR19">
        <v>18</v>
      </c>
      <c r="BS19">
        <v>45</v>
      </c>
      <c r="BT19">
        <v>24</v>
      </c>
      <c r="BU19">
        <v>13</v>
      </c>
      <c r="BV19">
        <v>54.17</v>
      </c>
      <c r="BW19">
        <v>77</v>
      </c>
      <c r="BX19">
        <v>24</v>
      </c>
      <c r="BY19">
        <v>31.17</v>
      </c>
      <c r="BZ19">
        <v>24</v>
      </c>
      <c r="CA19">
        <v>12</v>
      </c>
      <c r="CB19">
        <v>50</v>
      </c>
      <c r="CC19">
        <v>13.46</v>
      </c>
    </row>
    <row r="20" spans="1:81" ht="12" customHeight="1" x14ac:dyDescent="0.15">
      <c r="A20" s="21" t="s">
        <v>79</v>
      </c>
      <c r="B20" s="21" t="s">
        <v>80</v>
      </c>
      <c r="C20" s="21" t="s">
        <v>50</v>
      </c>
      <c r="D20" s="21">
        <v>96</v>
      </c>
      <c r="E20" t="s">
        <v>46</v>
      </c>
      <c r="F20" t="s">
        <v>56</v>
      </c>
      <c r="G20">
        <v>2</v>
      </c>
      <c r="H20">
        <v>1.74</v>
      </c>
      <c r="I20">
        <v>18</v>
      </c>
      <c r="J20">
        <v>8</v>
      </c>
      <c r="K20">
        <v>44.44</v>
      </c>
      <c r="L20">
        <v>429</v>
      </c>
      <c r="M20">
        <v>308</v>
      </c>
      <c r="N20">
        <v>71.790000000000006</v>
      </c>
      <c r="O20">
        <v>50.98</v>
      </c>
      <c r="P20">
        <v>167</v>
      </c>
      <c r="Q20">
        <v>38</v>
      </c>
      <c r="R20">
        <v>51</v>
      </c>
      <c r="S20">
        <v>78</v>
      </c>
      <c r="T20">
        <v>106</v>
      </c>
      <c r="U20">
        <v>51</v>
      </c>
      <c r="V20">
        <v>44</v>
      </c>
      <c r="W20">
        <v>11</v>
      </c>
      <c r="X20">
        <v>170</v>
      </c>
      <c r="Y20">
        <v>81</v>
      </c>
      <c r="Z20">
        <v>47.65</v>
      </c>
      <c r="AA20">
        <v>9</v>
      </c>
      <c r="AB20">
        <v>4</v>
      </c>
      <c r="AC20">
        <v>44.44</v>
      </c>
      <c r="AD20">
        <v>41</v>
      </c>
      <c r="AE20">
        <v>15</v>
      </c>
      <c r="AF20">
        <v>36.590000000000003</v>
      </c>
      <c r="AG20">
        <v>19</v>
      </c>
      <c r="AH20">
        <v>2</v>
      </c>
      <c r="AI20">
        <v>10.53</v>
      </c>
      <c r="AJ20">
        <v>1</v>
      </c>
      <c r="AK20">
        <v>0</v>
      </c>
      <c r="AL20">
        <v>0</v>
      </c>
      <c r="AM20">
        <v>11</v>
      </c>
      <c r="AN20">
        <v>1</v>
      </c>
      <c r="AO20">
        <v>9.09</v>
      </c>
      <c r="AP20">
        <v>2</v>
      </c>
      <c r="AQ20">
        <v>8</v>
      </c>
      <c r="AR20">
        <v>12</v>
      </c>
      <c r="AS20">
        <v>67</v>
      </c>
      <c r="AT20">
        <v>16</v>
      </c>
      <c r="AU20">
        <v>23.88</v>
      </c>
      <c r="AV20">
        <v>0</v>
      </c>
      <c r="AW20">
        <v>15</v>
      </c>
      <c r="AX20">
        <v>3</v>
      </c>
      <c r="AY20">
        <v>20</v>
      </c>
      <c r="AZ20">
        <v>75</v>
      </c>
      <c r="BA20">
        <v>55</v>
      </c>
      <c r="BB20">
        <v>73.33</v>
      </c>
      <c r="BC20">
        <v>10</v>
      </c>
      <c r="BD20">
        <v>4</v>
      </c>
      <c r="BE20">
        <v>40</v>
      </c>
      <c r="BF20">
        <v>1</v>
      </c>
      <c r="BG20">
        <v>1</v>
      </c>
      <c r="BH20">
        <v>100</v>
      </c>
      <c r="BI20">
        <v>69</v>
      </c>
      <c r="BJ20">
        <v>10</v>
      </c>
      <c r="BK20">
        <v>5</v>
      </c>
      <c r="BL20">
        <v>0</v>
      </c>
      <c r="BM20">
        <v>0</v>
      </c>
      <c r="BN20">
        <v>184</v>
      </c>
      <c r="BO20">
        <v>111</v>
      </c>
      <c r="BP20">
        <v>60.33</v>
      </c>
      <c r="BQ20">
        <v>44</v>
      </c>
      <c r="BR20">
        <v>22</v>
      </c>
      <c r="BS20">
        <v>50</v>
      </c>
      <c r="BT20">
        <v>78</v>
      </c>
      <c r="BU20">
        <v>37</v>
      </c>
      <c r="BV20">
        <v>47.44</v>
      </c>
      <c r="BW20">
        <v>110</v>
      </c>
      <c r="BX20">
        <v>65</v>
      </c>
      <c r="BY20">
        <v>59.09</v>
      </c>
      <c r="BZ20">
        <v>39</v>
      </c>
      <c r="CA20">
        <v>30</v>
      </c>
      <c r="CB20">
        <v>76.92</v>
      </c>
      <c r="CC20">
        <v>5.18</v>
      </c>
    </row>
    <row r="21" spans="1:81" ht="12" customHeight="1" x14ac:dyDescent="0.15">
      <c r="A21" s="21"/>
      <c r="B21" s="21"/>
      <c r="C21" s="21"/>
      <c r="D21" s="21"/>
      <c r="E21" t="s">
        <v>57</v>
      </c>
      <c r="F21" t="s">
        <v>81</v>
      </c>
      <c r="G21">
        <v>0</v>
      </c>
      <c r="H21">
        <v>1.31</v>
      </c>
      <c r="I21">
        <v>15</v>
      </c>
      <c r="J21">
        <v>3</v>
      </c>
      <c r="K21">
        <v>20</v>
      </c>
      <c r="L21">
        <v>382</v>
      </c>
      <c r="M21">
        <v>260</v>
      </c>
      <c r="N21">
        <v>68.06</v>
      </c>
      <c r="O21">
        <v>49.02</v>
      </c>
      <c r="P21">
        <v>154</v>
      </c>
      <c r="Q21">
        <v>21</v>
      </c>
      <c r="R21">
        <v>68</v>
      </c>
      <c r="S21">
        <v>65</v>
      </c>
      <c r="T21">
        <v>94</v>
      </c>
      <c r="U21">
        <v>46</v>
      </c>
      <c r="V21">
        <v>26</v>
      </c>
      <c r="W21">
        <v>22</v>
      </c>
      <c r="X21">
        <v>170</v>
      </c>
      <c r="Y21">
        <v>88</v>
      </c>
      <c r="Z21">
        <v>51.76</v>
      </c>
      <c r="AA21">
        <v>8</v>
      </c>
      <c r="AB21">
        <v>2</v>
      </c>
      <c r="AC21">
        <v>25</v>
      </c>
      <c r="AD21">
        <v>33</v>
      </c>
      <c r="AE21">
        <v>8</v>
      </c>
      <c r="AF21">
        <v>24.24</v>
      </c>
      <c r="AG21">
        <v>33</v>
      </c>
      <c r="AH21">
        <v>7</v>
      </c>
      <c r="AI21">
        <v>21.21</v>
      </c>
      <c r="AJ21">
        <v>7</v>
      </c>
      <c r="AK21">
        <v>4</v>
      </c>
      <c r="AL21">
        <v>57.14</v>
      </c>
      <c r="AM21">
        <v>15</v>
      </c>
      <c r="AN21">
        <v>5</v>
      </c>
      <c r="AO21">
        <v>33.33</v>
      </c>
      <c r="AP21">
        <v>5</v>
      </c>
      <c r="AQ21">
        <v>5</v>
      </c>
      <c r="AR21">
        <v>16</v>
      </c>
      <c r="AS21">
        <v>75</v>
      </c>
      <c r="AT21">
        <v>20</v>
      </c>
      <c r="AU21">
        <v>26.67</v>
      </c>
      <c r="AV21">
        <v>2</v>
      </c>
      <c r="AW21">
        <v>18</v>
      </c>
      <c r="AX21">
        <v>8</v>
      </c>
      <c r="AY21">
        <v>44.44</v>
      </c>
      <c r="AZ21">
        <v>67</v>
      </c>
      <c r="BA21">
        <v>51</v>
      </c>
      <c r="BB21">
        <v>76.12</v>
      </c>
      <c r="BC21">
        <v>10</v>
      </c>
      <c r="BD21">
        <v>6</v>
      </c>
      <c r="BE21">
        <v>60</v>
      </c>
      <c r="BF21">
        <v>5</v>
      </c>
      <c r="BG21">
        <v>3</v>
      </c>
      <c r="BH21">
        <v>60</v>
      </c>
      <c r="BI21">
        <v>50</v>
      </c>
      <c r="BJ21">
        <v>18</v>
      </c>
      <c r="BK21">
        <v>4</v>
      </c>
      <c r="BL21">
        <v>1</v>
      </c>
      <c r="BM21">
        <v>0</v>
      </c>
      <c r="BN21">
        <v>170</v>
      </c>
      <c r="BO21">
        <v>102</v>
      </c>
      <c r="BP21">
        <v>60</v>
      </c>
      <c r="BQ21">
        <v>54</v>
      </c>
      <c r="BR21">
        <v>32</v>
      </c>
      <c r="BS21">
        <v>59.26</v>
      </c>
      <c r="BT21">
        <v>57</v>
      </c>
      <c r="BU21">
        <v>30</v>
      </c>
      <c r="BV21">
        <v>52.63</v>
      </c>
      <c r="BW21">
        <v>89</v>
      </c>
      <c r="BX21">
        <v>46</v>
      </c>
      <c r="BY21">
        <v>51.69</v>
      </c>
      <c r="BZ21">
        <v>33</v>
      </c>
      <c r="CA21">
        <v>28</v>
      </c>
      <c r="CB21">
        <v>84.85</v>
      </c>
      <c r="CC21">
        <v>10.47</v>
      </c>
    </row>
    <row r="22" spans="1:81" ht="12" customHeight="1" x14ac:dyDescent="0.15">
      <c r="A22" s="21" t="s">
        <v>82</v>
      </c>
      <c r="B22" s="21" t="s">
        <v>83</v>
      </c>
      <c r="C22" s="21" t="s">
        <v>50</v>
      </c>
      <c r="D22" s="21">
        <v>95</v>
      </c>
      <c r="E22" t="s">
        <v>46</v>
      </c>
      <c r="F22" t="s">
        <v>58</v>
      </c>
      <c r="G22">
        <v>6</v>
      </c>
      <c r="H22">
        <v>1.77</v>
      </c>
      <c r="I22">
        <v>20</v>
      </c>
      <c r="J22">
        <v>11</v>
      </c>
      <c r="K22">
        <v>55</v>
      </c>
      <c r="L22">
        <v>514</v>
      </c>
      <c r="M22">
        <v>411</v>
      </c>
      <c r="N22">
        <v>79.959999999999994</v>
      </c>
      <c r="O22">
        <v>62.41</v>
      </c>
      <c r="P22">
        <v>132</v>
      </c>
      <c r="Q22">
        <v>4</v>
      </c>
      <c r="R22">
        <v>27</v>
      </c>
      <c r="S22">
        <v>101</v>
      </c>
      <c r="T22">
        <v>95</v>
      </c>
      <c r="U22">
        <v>19</v>
      </c>
      <c r="V22">
        <v>44</v>
      </c>
      <c r="W22">
        <v>32</v>
      </c>
      <c r="X22">
        <v>155</v>
      </c>
      <c r="Y22">
        <v>78</v>
      </c>
      <c r="Z22">
        <v>50.32</v>
      </c>
      <c r="AA22">
        <v>13</v>
      </c>
      <c r="AB22">
        <v>6</v>
      </c>
      <c r="AC22">
        <v>46.15</v>
      </c>
      <c r="AD22">
        <v>67</v>
      </c>
      <c r="AE22">
        <v>17</v>
      </c>
      <c r="AF22">
        <v>25.37</v>
      </c>
      <c r="AG22">
        <v>13</v>
      </c>
      <c r="AH22">
        <v>3</v>
      </c>
      <c r="AI22">
        <v>23.08</v>
      </c>
      <c r="AJ22">
        <v>7</v>
      </c>
      <c r="AK22">
        <v>2</v>
      </c>
      <c r="AL22">
        <v>28.57</v>
      </c>
      <c r="AM22">
        <v>29</v>
      </c>
      <c r="AN22">
        <v>8</v>
      </c>
      <c r="AO22">
        <v>27.59</v>
      </c>
      <c r="AP22">
        <v>7</v>
      </c>
      <c r="AQ22">
        <v>5</v>
      </c>
      <c r="AR22">
        <v>22</v>
      </c>
      <c r="AS22">
        <v>70</v>
      </c>
      <c r="AT22">
        <v>27</v>
      </c>
      <c r="AU22">
        <v>38.57</v>
      </c>
      <c r="AV22">
        <v>0</v>
      </c>
      <c r="AW22">
        <v>4</v>
      </c>
      <c r="AX22">
        <v>2</v>
      </c>
      <c r="AY22">
        <v>50</v>
      </c>
      <c r="AZ22">
        <v>54</v>
      </c>
      <c r="BA22">
        <v>38</v>
      </c>
      <c r="BB22">
        <v>70.37</v>
      </c>
      <c r="BC22">
        <v>11</v>
      </c>
      <c r="BD22">
        <v>6</v>
      </c>
      <c r="BE22">
        <v>54.55</v>
      </c>
      <c r="BF22">
        <v>1</v>
      </c>
      <c r="BG22">
        <v>1</v>
      </c>
      <c r="BH22">
        <v>100</v>
      </c>
      <c r="BI22">
        <v>26</v>
      </c>
      <c r="BJ22">
        <v>4</v>
      </c>
      <c r="BK22">
        <v>6</v>
      </c>
      <c r="BL22">
        <v>1</v>
      </c>
      <c r="BM22">
        <v>0</v>
      </c>
      <c r="BN22">
        <v>180</v>
      </c>
      <c r="BO22">
        <v>136</v>
      </c>
      <c r="BP22">
        <v>75.56</v>
      </c>
      <c r="BQ22">
        <v>46</v>
      </c>
      <c r="BR22">
        <v>19</v>
      </c>
      <c r="BS22">
        <v>41.3</v>
      </c>
      <c r="BT22">
        <v>78</v>
      </c>
      <c r="BU22">
        <v>52</v>
      </c>
      <c r="BV22">
        <v>66.67</v>
      </c>
      <c r="BW22">
        <v>75</v>
      </c>
      <c r="BX22">
        <v>67</v>
      </c>
      <c r="BY22">
        <v>89.33</v>
      </c>
      <c r="BZ22">
        <v>32</v>
      </c>
      <c r="CA22">
        <v>29</v>
      </c>
      <c r="CB22">
        <v>90.63</v>
      </c>
      <c r="CC22">
        <v>8.74</v>
      </c>
    </row>
    <row r="23" spans="1:81" ht="12" customHeight="1" x14ac:dyDescent="0.15">
      <c r="A23" s="21"/>
      <c r="B23" s="21"/>
      <c r="C23" s="21"/>
      <c r="D23" s="21"/>
      <c r="E23" t="s">
        <v>68</v>
      </c>
      <c r="F23" t="s">
        <v>84</v>
      </c>
      <c r="G23">
        <v>0</v>
      </c>
      <c r="H23">
        <v>0.1</v>
      </c>
      <c r="I23">
        <v>4</v>
      </c>
      <c r="J23">
        <v>2</v>
      </c>
      <c r="K23">
        <v>50</v>
      </c>
      <c r="L23">
        <v>319</v>
      </c>
      <c r="M23">
        <v>229</v>
      </c>
      <c r="N23">
        <v>71.790000000000006</v>
      </c>
      <c r="O23">
        <v>37.590000000000003</v>
      </c>
      <c r="P23">
        <v>126</v>
      </c>
      <c r="Q23">
        <v>43</v>
      </c>
      <c r="R23">
        <v>62</v>
      </c>
      <c r="S23">
        <v>21</v>
      </c>
      <c r="T23">
        <v>80</v>
      </c>
      <c r="U23">
        <v>48</v>
      </c>
      <c r="V23">
        <v>31</v>
      </c>
      <c r="W23">
        <v>1</v>
      </c>
      <c r="X23">
        <v>155</v>
      </c>
      <c r="Y23">
        <v>74</v>
      </c>
      <c r="Z23">
        <v>47.74</v>
      </c>
      <c r="AA23">
        <v>4</v>
      </c>
      <c r="AB23">
        <v>2</v>
      </c>
      <c r="AC23">
        <v>50</v>
      </c>
      <c r="AD23">
        <v>6</v>
      </c>
      <c r="AE23">
        <v>2</v>
      </c>
      <c r="AF23">
        <v>33.33</v>
      </c>
      <c r="AG23">
        <v>23</v>
      </c>
      <c r="AH23">
        <v>1</v>
      </c>
      <c r="AI23">
        <v>4.3499999999999996</v>
      </c>
      <c r="AJ23">
        <v>0</v>
      </c>
      <c r="AK23">
        <v>0</v>
      </c>
      <c r="AL23">
        <v>0</v>
      </c>
      <c r="AM23">
        <v>2</v>
      </c>
      <c r="AN23">
        <v>0</v>
      </c>
      <c r="AO23">
        <v>0</v>
      </c>
      <c r="AP23">
        <v>0</v>
      </c>
      <c r="AQ23">
        <v>2</v>
      </c>
      <c r="AR23">
        <v>4</v>
      </c>
      <c r="AS23">
        <v>54</v>
      </c>
      <c r="AT23">
        <v>16</v>
      </c>
      <c r="AU23">
        <v>29.63</v>
      </c>
      <c r="AV23">
        <v>6</v>
      </c>
      <c r="AW23">
        <v>20</v>
      </c>
      <c r="AX23">
        <v>13</v>
      </c>
      <c r="AY23">
        <v>65</v>
      </c>
      <c r="AZ23">
        <v>70</v>
      </c>
      <c r="BA23">
        <v>43</v>
      </c>
      <c r="BB23">
        <v>61.43</v>
      </c>
      <c r="BC23">
        <v>11</v>
      </c>
      <c r="BD23">
        <v>4</v>
      </c>
      <c r="BE23">
        <v>36.36</v>
      </c>
      <c r="BF23">
        <v>1</v>
      </c>
      <c r="BG23">
        <v>1</v>
      </c>
      <c r="BH23">
        <v>100</v>
      </c>
      <c r="BI23">
        <v>52</v>
      </c>
      <c r="BJ23">
        <v>22</v>
      </c>
      <c r="BK23">
        <v>3</v>
      </c>
      <c r="BL23">
        <v>0</v>
      </c>
      <c r="BM23">
        <v>0</v>
      </c>
      <c r="BN23">
        <v>132</v>
      </c>
      <c r="BO23">
        <v>73</v>
      </c>
      <c r="BP23">
        <v>55.3</v>
      </c>
      <c r="BQ23">
        <v>56</v>
      </c>
      <c r="BR23">
        <v>27</v>
      </c>
      <c r="BS23">
        <v>48.21</v>
      </c>
      <c r="BT23">
        <v>25</v>
      </c>
      <c r="BU23">
        <v>13</v>
      </c>
      <c r="BV23">
        <v>52</v>
      </c>
      <c r="BW23">
        <v>70</v>
      </c>
      <c r="BX23">
        <v>20</v>
      </c>
      <c r="BY23">
        <v>28.57</v>
      </c>
      <c r="BZ23">
        <v>14</v>
      </c>
      <c r="CA23">
        <v>11</v>
      </c>
      <c r="CB23">
        <v>78.569999999999993</v>
      </c>
      <c r="CC23">
        <v>22.31</v>
      </c>
    </row>
  </sheetData>
  <mergeCells count="60">
    <mergeCell ref="B22:B23"/>
    <mergeCell ref="AS1:AU1"/>
    <mergeCell ref="B16:B17"/>
    <mergeCell ref="C6:C7"/>
    <mergeCell ref="C18:C19"/>
    <mergeCell ref="C14:C15"/>
    <mergeCell ref="D22:D23"/>
    <mergeCell ref="D20:D21"/>
    <mergeCell ref="D14:D15"/>
    <mergeCell ref="T1:W1"/>
    <mergeCell ref="AA1:AC1"/>
    <mergeCell ref="AG1:AI1"/>
    <mergeCell ref="D10:D11"/>
    <mergeCell ref="BZ1:CB1"/>
    <mergeCell ref="D16:D17"/>
    <mergeCell ref="D12:D13"/>
    <mergeCell ref="B10:B11"/>
    <mergeCell ref="B6:B7"/>
    <mergeCell ref="P1:S1"/>
    <mergeCell ref="X1:Z1"/>
    <mergeCell ref="AJ1:AL1"/>
    <mergeCell ref="C8:C9"/>
    <mergeCell ref="BC1:BE1"/>
    <mergeCell ref="BT1:BV1"/>
    <mergeCell ref="D6:D7"/>
    <mergeCell ref="BF1:BH1"/>
    <mergeCell ref="BW1:BY1"/>
    <mergeCell ref="D8:D9"/>
    <mergeCell ref="B4:B5"/>
    <mergeCell ref="A6:A7"/>
    <mergeCell ref="AM1:AO1"/>
    <mergeCell ref="B14:B15"/>
    <mergeCell ref="C22:C23"/>
    <mergeCell ref="L1:N1"/>
    <mergeCell ref="A12:A13"/>
    <mergeCell ref="D4:D5"/>
    <mergeCell ref="C12:C13"/>
    <mergeCell ref="I1:K1"/>
    <mergeCell ref="A18:A19"/>
    <mergeCell ref="A14:A15"/>
    <mergeCell ref="A8:A9"/>
    <mergeCell ref="D18:D19"/>
    <mergeCell ref="A4:A5"/>
    <mergeCell ref="A22:A23"/>
    <mergeCell ref="A20:A21"/>
    <mergeCell ref="C20:C21"/>
    <mergeCell ref="B8:B9"/>
    <mergeCell ref="A16:A17"/>
    <mergeCell ref="C10:C11"/>
    <mergeCell ref="C16:C17"/>
    <mergeCell ref="B20:B21"/>
    <mergeCell ref="A10:A11"/>
    <mergeCell ref="AD1:AF1"/>
    <mergeCell ref="C4:C5"/>
    <mergeCell ref="BQ1:BS1"/>
    <mergeCell ref="B12:B13"/>
    <mergeCell ref="B18:B19"/>
    <mergeCell ref="BN1:BP1"/>
    <mergeCell ref="AW1:AY1"/>
    <mergeCell ref="AZ1:B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21"/>
  <sheetViews>
    <sheetView tabSelected="1" workbookViewId="0">
      <pane xSplit="2" ySplit="2" topLeftCell="AX3" activePane="bottomRight" state="frozen"/>
      <selection pane="topRight"/>
      <selection pane="bottomLeft"/>
      <selection pane="bottomRight" activeCell="BI17" sqref="BI17"/>
    </sheetView>
  </sheetViews>
  <sheetFormatPr baseColWidth="10" defaultColWidth="8.83203125" defaultRowHeight="14" x14ac:dyDescent="0.15"/>
  <cols>
    <col min="1" max="1" width="5" customWidth="1"/>
    <col min="2" max="2" width="18" customWidth="1"/>
    <col min="3" max="3" width="13" customWidth="1"/>
    <col min="4" max="4" width="9" customWidth="1"/>
    <col min="5" max="5" width="10" customWidth="1"/>
    <col min="6" max="6" width="9" customWidth="1"/>
    <col min="7" max="8" width="8" customWidth="1"/>
    <col min="9" max="9" width="9" customWidth="1"/>
    <col min="10" max="10" width="8" customWidth="1"/>
    <col min="11" max="11" width="10" customWidth="1"/>
    <col min="12" max="12" width="9" customWidth="1"/>
    <col min="13" max="13" width="12" customWidth="1"/>
    <col min="14" max="14" width="9" customWidth="1"/>
    <col min="15" max="15" width="12" customWidth="1"/>
    <col min="16" max="16" width="10" customWidth="1"/>
    <col min="17" max="17" width="12" customWidth="1"/>
    <col min="18" max="19" width="10" customWidth="1"/>
    <col min="20" max="20" width="9" customWidth="1"/>
    <col min="21" max="21" width="13" customWidth="1"/>
    <col min="22" max="22" width="15" customWidth="1"/>
    <col min="23" max="23" width="12" customWidth="1"/>
    <col min="24" max="24" width="19" customWidth="1"/>
    <col min="25" max="25" width="11" customWidth="1"/>
    <col min="26" max="26" width="13" customWidth="1"/>
    <col min="27" max="27" width="11" customWidth="1"/>
    <col min="28" max="28" width="7" customWidth="1"/>
    <col min="29" max="29" width="12" customWidth="1"/>
    <col min="30" max="30" width="8" customWidth="1"/>
    <col min="31" max="31" width="12" customWidth="1"/>
    <col min="32" max="32" width="8" customWidth="1"/>
    <col min="33" max="33" width="13" customWidth="1"/>
    <col min="34" max="34" width="9" customWidth="1"/>
    <col min="35" max="35" width="12" customWidth="1"/>
    <col min="36" max="36" width="9" customWidth="1"/>
    <col min="37" max="37" width="8" customWidth="1"/>
    <col min="38" max="38" width="16" customWidth="1"/>
    <col min="39" max="39" width="10" customWidth="1"/>
    <col min="40" max="40" width="16" customWidth="1"/>
    <col min="41" max="41" width="14" customWidth="1"/>
    <col min="42" max="42" width="11" customWidth="1"/>
    <col min="43" max="43" width="18" customWidth="1"/>
    <col min="44" max="44" width="10" customWidth="1"/>
    <col min="45" max="45" width="11" customWidth="1"/>
    <col min="46" max="46" width="8" customWidth="1"/>
    <col min="47" max="47" width="12" customWidth="1"/>
    <col min="48" max="48" width="8" customWidth="1"/>
    <col min="49" max="49" width="14" customWidth="1"/>
    <col min="50" max="50" width="10" customWidth="1"/>
    <col min="51" max="51" width="16" customWidth="1"/>
    <col min="52" max="52" width="11" customWidth="1"/>
    <col min="53" max="53" width="12" customWidth="1"/>
    <col min="54" max="54" width="8" customWidth="1"/>
    <col min="55" max="56" width="13" customWidth="1"/>
    <col min="57" max="57" width="12" customWidth="1"/>
    <col min="58" max="58" width="13" customWidth="1"/>
    <col min="59" max="59" width="14" customWidth="1"/>
    <col min="60" max="60" width="10" customWidth="1"/>
    <col min="61" max="61" width="17" customWidth="1"/>
    <col min="62" max="62" width="11" customWidth="1"/>
    <col min="63" max="63" width="16" customWidth="1"/>
    <col min="64" max="64" width="12" customWidth="1"/>
    <col min="65" max="65" width="13" customWidth="1"/>
    <col min="66" max="66" width="14" customWidth="1"/>
  </cols>
  <sheetData>
    <row r="1" spans="1:66" ht="22" customHeight="1" x14ac:dyDescent="0.15">
      <c r="A1" s="2" t="s">
        <v>85</v>
      </c>
      <c r="B1" s="24" t="s">
        <v>86</v>
      </c>
      <c r="C1" s="21"/>
      <c r="D1" s="27" t="s">
        <v>87</v>
      </c>
      <c r="E1" s="21"/>
      <c r="F1" s="21"/>
      <c r="G1" s="21"/>
      <c r="H1" s="21"/>
      <c r="I1" s="21"/>
      <c r="J1" s="21"/>
      <c r="K1" s="28" t="s">
        <v>88</v>
      </c>
      <c r="L1" s="21"/>
      <c r="M1" s="21"/>
      <c r="N1" s="21"/>
      <c r="O1" s="21"/>
      <c r="P1" s="21"/>
      <c r="Q1" s="21"/>
      <c r="R1" s="21"/>
      <c r="S1" s="21"/>
      <c r="T1" s="21"/>
      <c r="U1" s="29" t="s">
        <v>89</v>
      </c>
      <c r="V1" s="21"/>
      <c r="W1" s="21"/>
      <c r="X1" s="21"/>
      <c r="Y1" s="21"/>
      <c r="Z1" s="21"/>
      <c r="AA1" s="21"/>
      <c r="AB1" s="3" t="s">
        <v>90</v>
      </c>
      <c r="AC1" s="25" t="s">
        <v>91</v>
      </c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8" t="s">
        <v>92</v>
      </c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6" t="s">
        <v>93</v>
      </c>
      <c r="BN1" s="21"/>
    </row>
    <row r="2" spans="1:66" ht="30" customHeight="1" x14ac:dyDescent="0.15">
      <c r="A2" s="4" t="s">
        <v>94</v>
      </c>
      <c r="B2" s="4" t="s">
        <v>95</v>
      </c>
      <c r="C2" s="4" t="s">
        <v>96</v>
      </c>
      <c r="D2" s="4" t="s">
        <v>97</v>
      </c>
      <c r="E2" s="4" t="s">
        <v>98</v>
      </c>
      <c r="F2" s="4" t="s">
        <v>99</v>
      </c>
      <c r="G2" s="4" t="s">
        <v>13</v>
      </c>
      <c r="H2" s="4" t="s">
        <v>14</v>
      </c>
      <c r="I2" s="4" t="s">
        <v>100</v>
      </c>
      <c r="J2" s="4" t="s">
        <v>101</v>
      </c>
      <c r="K2" s="4" t="s">
        <v>475</v>
      </c>
      <c r="L2" s="4" t="s">
        <v>102</v>
      </c>
      <c r="M2" s="4" t="s">
        <v>476</v>
      </c>
      <c r="N2" s="4" t="s">
        <v>103</v>
      </c>
      <c r="O2" s="4" t="s">
        <v>477</v>
      </c>
      <c r="P2" s="4" t="s">
        <v>104</v>
      </c>
      <c r="Q2" s="4" t="s">
        <v>105</v>
      </c>
      <c r="R2" s="4" t="s">
        <v>106</v>
      </c>
      <c r="S2" s="4" t="s">
        <v>107</v>
      </c>
      <c r="T2" s="4" t="s">
        <v>108</v>
      </c>
      <c r="U2" s="4" t="s">
        <v>109</v>
      </c>
      <c r="V2" s="4" t="s">
        <v>110</v>
      </c>
      <c r="W2" s="4" t="s">
        <v>111</v>
      </c>
      <c r="X2" s="4" t="s">
        <v>112</v>
      </c>
      <c r="Y2" s="4" t="s">
        <v>113</v>
      </c>
      <c r="Z2" s="4" t="s">
        <v>114</v>
      </c>
      <c r="AA2" s="4" t="s">
        <v>115</v>
      </c>
      <c r="AB2" s="4" t="s">
        <v>90</v>
      </c>
      <c r="AC2" s="5" t="s">
        <v>116</v>
      </c>
      <c r="AD2" s="5" t="s">
        <v>117</v>
      </c>
      <c r="AE2" s="5" t="s">
        <v>118</v>
      </c>
      <c r="AF2" s="5" t="s">
        <v>119</v>
      </c>
      <c r="AG2" s="5" t="s">
        <v>120</v>
      </c>
      <c r="AH2" s="5" t="s">
        <v>121</v>
      </c>
      <c r="AI2" s="5" t="s">
        <v>122</v>
      </c>
      <c r="AJ2" s="5" t="s">
        <v>123</v>
      </c>
      <c r="AK2" s="5" t="s">
        <v>124</v>
      </c>
      <c r="AL2" s="5" t="s">
        <v>125</v>
      </c>
      <c r="AM2" s="5" t="s">
        <v>126</v>
      </c>
      <c r="AN2" s="5" t="s">
        <v>474</v>
      </c>
      <c r="AO2" s="5" t="s">
        <v>127</v>
      </c>
      <c r="AP2" s="5" t="s">
        <v>128</v>
      </c>
      <c r="AQ2" s="5" t="s">
        <v>129</v>
      </c>
      <c r="AR2" s="5" t="s">
        <v>130</v>
      </c>
      <c r="AS2" s="6" t="s">
        <v>131</v>
      </c>
      <c r="AT2" s="6" t="s">
        <v>132</v>
      </c>
      <c r="AU2" s="6" t="s">
        <v>133</v>
      </c>
      <c r="AV2" s="6" t="s">
        <v>134</v>
      </c>
      <c r="AW2" s="6" t="s">
        <v>135</v>
      </c>
      <c r="AX2" s="6" t="s">
        <v>136</v>
      </c>
      <c r="AY2" s="6" t="s">
        <v>137</v>
      </c>
      <c r="AZ2" s="6" t="s">
        <v>138</v>
      </c>
      <c r="BA2" s="6" t="s">
        <v>139</v>
      </c>
      <c r="BB2" s="6" t="s">
        <v>140</v>
      </c>
      <c r="BC2" s="6" t="s">
        <v>141</v>
      </c>
      <c r="BD2" s="6" t="s">
        <v>142</v>
      </c>
      <c r="BE2" s="6" t="s">
        <v>143</v>
      </c>
      <c r="BF2" s="6" t="s">
        <v>144</v>
      </c>
      <c r="BG2" s="6" t="s">
        <v>145</v>
      </c>
      <c r="BH2" s="6" t="s">
        <v>146</v>
      </c>
      <c r="BI2" s="6" t="s">
        <v>147</v>
      </c>
      <c r="BJ2" s="6" t="s">
        <v>148</v>
      </c>
      <c r="BK2" s="6" t="s">
        <v>149</v>
      </c>
      <c r="BL2" s="6" t="s">
        <v>150</v>
      </c>
      <c r="BM2" s="7" t="s">
        <v>151</v>
      </c>
      <c r="BN2" s="7" t="s">
        <v>152</v>
      </c>
    </row>
    <row r="3" spans="1:66" ht="18" customHeight="1" x14ac:dyDescent="0.15">
      <c r="A3" s="8">
        <v>1</v>
      </c>
      <c r="B3" s="9" t="s">
        <v>153</v>
      </c>
      <c r="C3" s="10" t="s">
        <v>154</v>
      </c>
      <c r="D3" s="8">
        <v>8</v>
      </c>
      <c r="E3" s="8">
        <v>766</v>
      </c>
      <c r="F3" s="8">
        <v>96</v>
      </c>
      <c r="G3" s="8">
        <v>0</v>
      </c>
      <c r="H3" s="8">
        <v>0</v>
      </c>
      <c r="I3" s="8">
        <v>0</v>
      </c>
      <c r="J3" s="8" t="s">
        <v>155</v>
      </c>
      <c r="K3" s="10" t="s">
        <v>155</v>
      </c>
      <c r="L3" s="10" t="s">
        <v>155</v>
      </c>
      <c r="M3" s="10" t="s">
        <v>155</v>
      </c>
      <c r="N3" s="10" t="s">
        <v>155</v>
      </c>
      <c r="O3" s="10" t="s">
        <v>155</v>
      </c>
      <c r="P3" s="10" t="s">
        <v>155</v>
      </c>
      <c r="Q3" s="10" t="s">
        <v>155</v>
      </c>
      <c r="R3" s="10" t="s">
        <v>155</v>
      </c>
      <c r="S3" s="10" t="s">
        <v>155</v>
      </c>
      <c r="T3" s="10" t="s">
        <v>155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1193</v>
      </c>
      <c r="AC3" s="10" t="s">
        <v>155</v>
      </c>
      <c r="AD3" s="10" t="s">
        <v>155</v>
      </c>
      <c r="AE3" s="10" t="s">
        <v>155</v>
      </c>
      <c r="AF3" s="10" t="s">
        <v>155</v>
      </c>
      <c r="AG3" s="10" t="s">
        <v>155</v>
      </c>
      <c r="AH3" s="10" t="s">
        <v>155</v>
      </c>
      <c r="AI3" s="10" t="s">
        <v>155</v>
      </c>
      <c r="AJ3" s="10" t="s">
        <v>155</v>
      </c>
      <c r="AK3" s="10" t="s">
        <v>155</v>
      </c>
      <c r="AL3" s="10" t="s">
        <v>155</v>
      </c>
      <c r="AM3" s="10" t="s">
        <v>155</v>
      </c>
      <c r="AN3" s="10" t="s">
        <v>155</v>
      </c>
      <c r="AO3" s="10" t="s">
        <v>155</v>
      </c>
      <c r="AP3" s="10" t="s">
        <v>155</v>
      </c>
      <c r="AQ3" s="10" t="s">
        <v>155</v>
      </c>
      <c r="AR3" s="10" t="s">
        <v>155</v>
      </c>
      <c r="AS3" s="10" t="s">
        <v>155</v>
      </c>
      <c r="AT3" s="10" t="s">
        <v>155</v>
      </c>
      <c r="AU3" s="10" t="s">
        <v>155</v>
      </c>
      <c r="AV3" s="10" t="s">
        <v>155</v>
      </c>
      <c r="AW3" s="10" t="s">
        <v>155</v>
      </c>
      <c r="AX3" s="10" t="s">
        <v>155</v>
      </c>
      <c r="AY3" s="10" t="s">
        <v>155</v>
      </c>
      <c r="AZ3" s="10" t="s">
        <v>155</v>
      </c>
      <c r="BA3" s="10" t="s">
        <v>155</v>
      </c>
      <c r="BB3" s="10" t="s">
        <v>155</v>
      </c>
      <c r="BC3" s="10" t="s">
        <v>155</v>
      </c>
      <c r="BD3" s="10" t="s">
        <v>155</v>
      </c>
      <c r="BE3" s="10" t="s">
        <v>155</v>
      </c>
      <c r="BF3" s="10" t="s">
        <v>155</v>
      </c>
      <c r="BG3" s="10" t="s">
        <v>155</v>
      </c>
      <c r="BH3" s="10" t="s">
        <v>155</v>
      </c>
      <c r="BI3" s="10" t="s">
        <v>155</v>
      </c>
      <c r="BJ3" s="10" t="s">
        <v>155</v>
      </c>
      <c r="BK3" s="10" t="s">
        <v>155</v>
      </c>
      <c r="BL3" s="10" t="s">
        <v>155</v>
      </c>
      <c r="BM3" s="10">
        <v>3</v>
      </c>
      <c r="BN3" s="10">
        <v>0</v>
      </c>
    </row>
    <row r="4" spans="1:66" ht="18" customHeight="1" x14ac:dyDescent="0.15">
      <c r="A4" s="8">
        <v>23</v>
      </c>
      <c r="B4" s="9" t="s">
        <v>156</v>
      </c>
      <c r="C4" s="10" t="s">
        <v>154</v>
      </c>
      <c r="D4" s="8">
        <v>2</v>
      </c>
      <c r="E4" s="8">
        <v>191</v>
      </c>
      <c r="F4" s="8">
        <v>96</v>
      </c>
      <c r="G4" s="8">
        <v>0</v>
      </c>
      <c r="H4" s="8">
        <v>0</v>
      </c>
      <c r="I4" s="8">
        <v>0</v>
      </c>
      <c r="J4" s="8" t="s">
        <v>155</v>
      </c>
      <c r="K4" s="10" t="s">
        <v>155</v>
      </c>
      <c r="L4" s="10" t="s">
        <v>155</v>
      </c>
      <c r="M4" s="10" t="s">
        <v>155</v>
      </c>
      <c r="N4" s="10" t="s">
        <v>155</v>
      </c>
      <c r="O4" s="10" t="s">
        <v>155</v>
      </c>
      <c r="P4" s="10" t="s">
        <v>155</v>
      </c>
      <c r="Q4" s="10" t="s">
        <v>155</v>
      </c>
      <c r="R4" s="10" t="s">
        <v>155</v>
      </c>
      <c r="S4" s="10" t="s">
        <v>155</v>
      </c>
      <c r="T4" s="10" t="s">
        <v>155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1968</v>
      </c>
      <c r="AC4" s="10" t="s">
        <v>155</v>
      </c>
      <c r="AD4" s="10" t="s">
        <v>155</v>
      </c>
      <c r="AE4" s="10" t="s">
        <v>155</v>
      </c>
      <c r="AF4" s="10" t="s">
        <v>155</v>
      </c>
      <c r="AG4" s="10" t="s">
        <v>155</v>
      </c>
      <c r="AH4" s="10" t="s">
        <v>155</v>
      </c>
      <c r="AI4" s="10" t="s">
        <v>155</v>
      </c>
      <c r="AJ4" s="10" t="s">
        <v>155</v>
      </c>
      <c r="AK4" s="10" t="s">
        <v>155</v>
      </c>
      <c r="AL4" s="10" t="s">
        <v>155</v>
      </c>
      <c r="AM4" s="10" t="s">
        <v>155</v>
      </c>
      <c r="AN4" s="10" t="s">
        <v>155</v>
      </c>
      <c r="AO4" s="10" t="s">
        <v>155</v>
      </c>
      <c r="AP4" s="10" t="s">
        <v>155</v>
      </c>
      <c r="AQ4" s="10" t="s">
        <v>155</v>
      </c>
      <c r="AR4" s="10" t="s">
        <v>155</v>
      </c>
      <c r="AS4" s="10" t="s">
        <v>155</v>
      </c>
      <c r="AT4" s="10" t="s">
        <v>155</v>
      </c>
      <c r="AU4" s="10" t="s">
        <v>155</v>
      </c>
      <c r="AV4" s="10" t="s">
        <v>155</v>
      </c>
      <c r="AW4" s="10" t="s">
        <v>155</v>
      </c>
      <c r="AX4" s="10" t="s">
        <v>155</v>
      </c>
      <c r="AY4" s="10" t="s">
        <v>155</v>
      </c>
      <c r="AZ4" s="10" t="s">
        <v>155</v>
      </c>
      <c r="BA4" s="10" t="s">
        <v>155</v>
      </c>
      <c r="BB4" s="10" t="s">
        <v>155</v>
      </c>
      <c r="BC4" s="10" t="s">
        <v>155</v>
      </c>
      <c r="BD4" s="10" t="s">
        <v>155</v>
      </c>
      <c r="BE4" s="10" t="s">
        <v>155</v>
      </c>
      <c r="BF4" s="10" t="s">
        <v>155</v>
      </c>
      <c r="BG4" s="10" t="s">
        <v>155</v>
      </c>
      <c r="BH4" s="10" t="s">
        <v>155</v>
      </c>
      <c r="BI4" s="10" t="s">
        <v>155</v>
      </c>
      <c r="BJ4" s="10" t="s">
        <v>155</v>
      </c>
      <c r="BK4" s="10" t="s">
        <v>155</v>
      </c>
      <c r="BL4" s="10" t="s">
        <v>155</v>
      </c>
      <c r="BM4" s="10" t="s">
        <v>155</v>
      </c>
      <c r="BN4" s="10" t="s">
        <v>155</v>
      </c>
    </row>
    <row r="5" spans="1:66" ht="18" customHeight="1" x14ac:dyDescent="0.15">
      <c r="A5" s="11">
        <v>5</v>
      </c>
      <c r="B5" s="12" t="s">
        <v>157</v>
      </c>
      <c r="C5" s="13" t="s">
        <v>158</v>
      </c>
      <c r="D5" s="11">
        <v>10</v>
      </c>
      <c r="E5" s="11">
        <v>881</v>
      </c>
      <c r="F5" s="11">
        <v>88</v>
      </c>
      <c r="G5" s="11">
        <v>1</v>
      </c>
      <c r="H5" s="11">
        <v>1.33</v>
      </c>
      <c r="I5" s="11">
        <v>0</v>
      </c>
      <c r="J5" s="11">
        <v>0.45</v>
      </c>
      <c r="K5" s="13" t="s">
        <v>159</v>
      </c>
      <c r="L5" s="13">
        <v>40</v>
      </c>
      <c r="M5" s="13" t="s">
        <v>160</v>
      </c>
      <c r="N5" s="13">
        <v>73</v>
      </c>
      <c r="O5" s="13" t="s">
        <v>161</v>
      </c>
      <c r="P5" s="13">
        <v>12</v>
      </c>
      <c r="Q5" s="13" t="s">
        <v>162</v>
      </c>
      <c r="R5" s="13">
        <v>50</v>
      </c>
      <c r="S5" s="13" t="s">
        <v>163</v>
      </c>
      <c r="T5" s="13">
        <v>60</v>
      </c>
      <c r="U5" s="11">
        <v>93</v>
      </c>
      <c r="V5" s="11">
        <v>22</v>
      </c>
      <c r="W5" s="11">
        <v>81</v>
      </c>
      <c r="X5" s="11">
        <v>25</v>
      </c>
      <c r="Y5" s="11">
        <v>10</v>
      </c>
      <c r="Z5" s="11">
        <v>0</v>
      </c>
      <c r="AA5" s="11">
        <v>0</v>
      </c>
      <c r="AB5" s="11">
        <v>1315</v>
      </c>
      <c r="AC5" s="13" t="s">
        <v>164</v>
      </c>
      <c r="AD5" s="13" t="s">
        <v>165</v>
      </c>
      <c r="AE5" s="13" t="s">
        <v>166</v>
      </c>
      <c r="AF5" s="13" t="s">
        <v>167</v>
      </c>
      <c r="AG5" s="13" t="s">
        <v>168</v>
      </c>
      <c r="AH5" s="13" t="s">
        <v>169</v>
      </c>
      <c r="AI5" s="13" t="s">
        <v>170</v>
      </c>
      <c r="AJ5" s="13" t="s">
        <v>171</v>
      </c>
      <c r="AK5" s="13">
        <v>4</v>
      </c>
      <c r="AL5" s="13" t="s">
        <v>172</v>
      </c>
      <c r="AM5" s="13" t="s">
        <v>173</v>
      </c>
      <c r="AN5" s="13" t="s">
        <v>173</v>
      </c>
      <c r="AO5" s="13" t="s">
        <v>155</v>
      </c>
      <c r="AP5" s="13" t="s">
        <v>155</v>
      </c>
      <c r="AQ5" s="13" t="s">
        <v>155</v>
      </c>
      <c r="AR5" s="13">
        <v>129</v>
      </c>
      <c r="AS5" s="13" t="s">
        <v>174</v>
      </c>
      <c r="AT5" s="13">
        <v>67</v>
      </c>
      <c r="AU5" s="13" t="s">
        <v>175</v>
      </c>
      <c r="AV5" s="13">
        <v>94</v>
      </c>
      <c r="AW5" s="13" t="s">
        <v>176</v>
      </c>
      <c r="AX5" s="13">
        <v>63</v>
      </c>
      <c r="AY5" s="13" t="s">
        <v>177</v>
      </c>
      <c r="AZ5" s="13">
        <v>81</v>
      </c>
      <c r="BA5" s="13" t="s">
        <v>178</v>
      </c>
      <c r="BB5" s="13">
        <v>47</v>
      </c>
      <c r="BC5" s="13" t="s">
        <v>179</v>
      </c>
      <c r="BD5" s="13">
        <v>66</v>
      </c>
      <c r="BE5" s="13" t="s">
        <v>180</v>
      </c>
      <c r="BF5" s="13">
        <v>58</v>
      </c>
      <c r="BG5" s="13" t="s">
        <v>173</v>
      </c>
      <c r="BH5" s="13">
        <v>50</v>
      </c>
      <c r="BI5" s="13">
        <v>1</v>
      </c>
      <c r="BJ5" s="13">
        <v>1</v>
      </c>
      <c r="BK5" s="13" t="s">
        <v>181</v>
      </c>
      <c r="BL5" s="13">
        <v>3</v>
      </c>
      <c r="BM5" s="13" t="s">
        <v>155</v>
      </c>
      <c r="BN5" s="13" t="s">
        <v>155</v>
      </c>
    </row>
    <row r="6" spans="1:66" ht="18" customHeight="1" x14ac:dyDescent="0.15">
      <c r="A6" s="11">
        <v>7</v>
      </c>
      <c r="B6" s="12" t="s">
        <v>182</v>
      </c>
      <c r="C6" s="13" t="s">
        <v>158</v>
      </c>
      <c r="D6" s="11">
        <v>10</v>
      </c>
      <c r="E6" s="11">
        <v>782</v>
      </c>
      <c r="F6" s="11">
        <v>78</v>
      </c>
      <c r="G6" s="11">
        <v>4</v>
      </c>
      <c r="H6" s="11">
        <v>3.33</v>
      </c>
      <c r="I6" s="11">
        <v>3</v>
      </c>
      <c r="J6" s="11">
        <v>0.54</v>
      </c>
      <c r="K6" s="13" t="s">
        <v>183</v>
      </c>
      <c r="L6" s="13">
        <v>41</v>
      </c>
      <c r="M6" s="13" t="s">
        <v>184</v>
      </c>
      <c r="N6" s="13">
        <v>70</v>
      </c>
      <c r="O6" s="13" t="s">
        <v>185</v>
      </c>
      <c r="P6" s="13">
        <v>17</v>
      </c>
      <c r="Q6" s="13" t="s">
        <v>186</v>
      </c>
      <c r="R6" s="13">
        <v>52</v>
      </c>
      <c r="S6" s="13" t="s">
        <v>187</v>
      </c>
      <c r="T6" s="13">
        <v>48</v>
      </c>
      <c r="U6" s="11">
        <v>130</v>
      </c>
      <c r="V6" s="11">
        <v>25</v>
      </c>
      <c r="W6" s="11">
        <v>50</v>
      </c>
      <c r="X6" s="11">
        <v>31</v>
      </c>
      <c r="Y6" s="11">
        <v>37</v>
      </c>
      <c r="Z6" s="11">
        <v>1</v>
      </c>
      <c r="AA6" s="11">
        <v>0</v>
      </c>
      <c r="AB6" s="11">
        <v>1402</v>
      </c>
      <c r="AC6" s="13" t="s">
        <v>188</v>
      </c>
      <c r="AD6" s="13" t="s">
        <v>189</v>
      </c>
      <c r="AE6" s="13" t="s">
        <v>190</v>
      </c>
      <c r="AF6" s="13" t="s">
        <v>191</v>
      </c>
      <c r="AG6" s="13" t="s">
        <v>192</v>
      </c>
      <c r="AH6" s="13" t="s">
        <v>169</v>
      </c>
      <c r="AI6" s="13" t="s">
        <v>193</v>
      </c>
      <c r="AJ6" s="13" t="s">
        <v>194</v>
      </c>
      <c r="AK6" s="13" t="s">
        <v>155</v>
      </c>
      <c r="AL6" s="13" t="s">
        <v>195</v>
      </c>
      <c r="AM6" s="13" t="s">
        <v>196</v>
      </c>
      <c r="AN6" s="13" t="s">
        <v>197</v>
      </c>
      <c r="AO6" s="13" t="s">
        <v>155</v>
      </c>
      <c r="AP6" s="13" t="s">
        <v>155</v>
      </c>
      <c r="AQ6" s="13" t="s">
        <v>155</v>
      </c>
      <c r="AR6" s="13">
        <v>10</v>
      </c>
      <c r="AS6" s="13" t="s">
        <v>198</v>
      </c>
      <c r="AT6" s="13">
        <v>68</v>
      </c>
      <c r="AU6" s="13" t="s">
        <v>199</v>
      </c>
      <c r="AV6" s="13">
        <v>89</v>
      </c>
      <c r="AW6" s="13" t="s">
        <v>200</v>
      </c>
      <c r="AX6" s="13">
        <v>62</v>
      </c>
      <c r="AY6" s="13" t="s">
        <v>201</v>
      </c>
      <c r="AZ6" s="13">
        <v>79</v>
      </c>
      <c r="BA6" s="13" t="s">
        <v>202</v>
      </c>
      <c r="BB6" s="13">
        <v>49</v>
      </c>
      <c r="BC6" s="13" t="s">
        <v>203</v>
      </c>
      <c r="BD6" s="13">
        <v>70</v>
      </c>
      <c r="BE6" s="13" t="s">
        <v>204</v>
      </c>
      <c r="BF6" s="13">
        <v>60</v>
      </c>
      <c r="BG6" s="13" t="s">
        <v>205</v>
      </c>
      <c r="BH6" s="13">
        <v>50</v>
      </c>
      <c r="BI6" s="13">
        <v>11</v>
      </c>
      <c r="BJ6" s="13">
        <v>5</v>
      </c>
      <c r="BK6" s="13" t="s">
        <v>206</v>
      </c>
      <c r="BL6" s="13">
        <v>8</v>
      </c>
      <c r="BM6" s="13" t="s">
        <v>155</v>
      </c>
      <c r="BN6" s="13" t="s">
        <v>155</v>
      </c>
    </row>
    <row r="7" spans="1:66" ht="18" customHeight="1" x14ac:dyDescent="0.15">
      <c r="A7" s="11">
        <v>14</v>
      </c>
      <c r="B7" s="12" t="s">
        <v>207</v>
      </c>
      <c r="C7" s="13" t="s">
        <v>158</v>
      </c>
      <c r="D7" s="11">
        <v>5</v>
      </c>
      <c r="E7" s="11">
        <v>185</v>
      </c>
      <c r="F7" s="11">
        <v>37</v>
      </c>
      <c r="G7" s="11">
        <v>0</v>
      </c>
      <c r="H7" s="11">
        <v>0</v>
      </c>
      <c r="I7" s="11">
        <v>1</v>
      </c>
      <c r="J7" s="11">
        <v>0.03</v>
      </c>
      <c r="K7" s="13" t="s">
        <v>208</v>
      </c>
      <c r="L7" s="13">
        <v>0</v>
      </c>
      <c r="M7" s="13" t="s">
        <v>209</v>
      </c>
      <c r="N7" s="13">
        <v>76</v>
      </c>
      <c r="O7" s="13" t="s">
        <v>210</v>
      </c>
      <c r="P7" s="13">
        <v>0</v>
      </c>
      <c r="Q7" s="13" t="s">
        <v>208</v>
      </c>
      <c r="R7" s="13">
        <v>0</v>
      </c>
      <c r="S7" s="13" t="s">
        <v>211</v>
      </c>
      <c r="T7" s="13">
        <v>47</v>
      </c>
      <c r="U7" s="11">
        <v>32</v>
      </c>
      <c r="V7" s="11">
        <v>6</v>
      </c>
      <c r="W7" s="11">
        <v>25</v>
      </c>
      <c r="X7" s="11">
        <v>17</v>
      </c>
      <c r="Y7" s="11">
        <v>2</v>
      </c>
      <c r="Z7" s="11">
        <v>0</v>
      </c>
      <c r="AA7" s="11">
        <v>0</v>
      </c>
      <c r="AB7" s="11">
        <v>1674</v>
      </c>
      <c r="AC7" s="13" t="s">
        <v>212</v>
      </c>
      <c r="AD7" s="13" t="s">
        <v>213</v>
      </c>
      <c r="AE7" s="13" t="s">
        <v>214</v>
      </c>
      <c r="AF7" s="13" t="s">
        <v>215</v>
      </c>
      <c r="AG7" s="13" t="s">
        <v>214</v>
      </c>
      <c r="AH7" s="13" t="s">
        <v>215</v>
      </c>
      <c r="AI7" s="13" t="s">
        <v>214</v>
      </c>
      <c r="AJ7" s="13" t="s">
        <v>215</v>
      </c>
      <c r="AK7" s="13" t="s">
        <v>155</v>
      </c>
      <c r="AL7" s="13" t="s">
        <v>216</v>
      </c>
      <c r="AM7" s="13" t="s">
        <v>155</v>
      </c>
      <c r="AN7" s="13" t="s">
        <v>214</v>
      </c>
      <c r="AO7" s="13" t="s">
        <v>155</v>
      </c>
      <c r="AP7" s="13" t="s">
        <v>155</v>
      </c>
      <c r="AQ7" s="13" t="s">
        <v>155</v>
      </c>
      <c r="AR7" s="13">
        <v>22</v>
      </c>
      <c r="AS7" s="13" t="s">
        <v>217</v>
      </c>
      <c r="AT7" s="13">
        <v>74</v>
      </c>
      <c r="AU7" s="13" t="s">
        <v>218</v>
      </c>
      <c r="AV7" s="13">
        <v>100</v>
      </c>
      <c r="AW7" s="13" t="s">
        <v>219</v>
      </c>
      <c r="AX7" s="13">
        <v>79</v>
      </c>
      <c r="AY7" s="13" t="s">
        <v>220</v>
      </c>
      <c r="AZ7" s="13">
        <v>80</v>
      </c>
      <c r="BA7" s="13" t="s">
        <v>221</v>
      </c>
      <c r="BB7" s="13">
        <v>60</v>
      </c>
      <c r="BC7" s="13" t="s">
        <v>222</v>
      </c>
      <c r="BD7" s="13">
        <v>93</v>
      </c>
      <c r="BE7" s="13" t="s">
        <v>223</v>
      </c>
      <c r="BF7" s="13">
        <v>71</v>
      </c>
      <c r="BG7" s="13" t="s">
        <v>214</v>
      </c>
      <c r="BH7" s="13">
        <v>0</v>
      </c>
      <c r="BI7" s="13">
        <v>1</v>
      </c>
      <c r="BJ7" s="13">
        <v>1</v>
      </c>
      <c r="BK7" s="13" t="s">
        <v>206</v>
      </c>
      <c r="BL7" s="13">
        <v>1</v>
      </c>
      <c r="BM7" s="13" t="s">
        <v>155</v>
      </c>
      <c r="BN7" s="13" t="s">
        <v>155</v>
      </c>
    </row>
    <row r="8" spans="1:66" ht="18" customHeight="1" x14ac:dyDescent="0.15">
      <c r="A8" s="11">
        <v>16</v>
      </c>
      <c r="B8" s="12" t="s">
        <v>224</v>
      </c>
      <c r="C8" s="13" t="s">
        <v>158</v>
      </c>
      <c r="D8" s="11">
        <v>10</v>
      </c>
      <c r="E8" s="11">
        <v>273</v>
      </c>
      <c r="F8" s="11">
        <v>27</v>
      </c>
      <c r="G8" s="11">
        <v>0</v>
      </c>
      <c r="H8" s="11">
        <v>0.45</v>
      </c>
      <c r="I8" s="11">
        <v>1</v>
      </c>
      <c r="J8" s="11">
        <v>0.7</v>
      </c>
      <c r="K8" s="13" t="s">
        <v>225</v>
      </c>
      <c r="L8" s="13">
        <v>33</v>
      </c>
      <c r="M8" s="13" t="s">
        <v>226</v>
      </c>
      <c r="N8" s="13">
        <v>58</v>
      </c>
      <c r="O8" s="13" t="s">
        <v>227</v>
      </c>
      <c r="P8" s="13">
        <v>29</v>
      </c>
      <c r="Q8" s="13" t="s">
        <v>228</v>
      </c>
      <c r="R8" s="13">
        <v>71</v>
      </c>
      <c r="S8" s="13" t="s">
        <v>229</v>
      </c>
      <c r="T8" s="13">
        <v>58</v>
      </c>
      <c r="U8" s="11">
        <v>59</v>
      </c>
      <c r="V8" s="11">
        <v>9</v>
      </c>
      <c r="W8" s="11">
        <v>20</v>
      </c>
      <c r="X8" s="11">
        <v>15</v>
      </c>
      <c r="Y8" s="11">
        <v>20</v>
      </c>
      <c r="Z8" s="11">
        <v>1</v>
      </c>
      <c r="AA8" s="11">
        <v>0</v>
      </c>
      <c r="AB8" s="11">
        <v>1413</v>
      </c>
      <c r="AC8" s="13" t="s">
        <v>230</v>
      </c>
      <c r="AD8" s="13" t="s">
        <v>231</v>
      </c>
      <c r="AE8" s="13" t="s">
        <v>232</v>
      </c>
      <c r="AF8" s="13" t="s">
        <v>233</v>
      </c>
      <c r="AG8" s="13" t="s">
        <v>234</v>
      </c>
      <c r="AH8" s="13" t="s">
        <v>235</v>
      </c>
      <c r="AI8" s="13" t="s">
        <v>236</v>
      </c>
      <c r="AJ8" s="13" t="s">
        <v>215</v>
      </c>
      <c r="AK8" s="13" t="s">
        <v>155</v>
      </c>
      <c r="AL8" s="13" t="s">
        <v>237</v>
      </c>
      <c r="AM8" s="13" t="s">
        <v>238</v>
      </c>
      <c r="AN8" s="13" t="s">
        <v>239</v>
      </c>
      <c r="AO8" s="13" t="s">
        <v>155</v>
      </c>
      <c r="AP8" s="13" t="s">
        <v>155</v>
      </c>
      <c r="AQ8" s="13" t="s">
        <v>240</v>
      </c>
      <c r="AR8" s="13">
        <v>5</v>
      </c>
      <c r="AS8" s="13" t="s">
        <v>241</v>
      </c>
      <c r="AT8" s="13">
        <v>50</v>
      </c>
      <c r="AU8" s="13" t="s">
        <v>242</v>
      </c>
      <c r="AV8" s="13">
        <v>83</v>
      </c>
      <c r="AW8" s="13" t="s">
        <v>243</v>
      </c>
      <c r="AX8" s="13">
        <v>46</v>
      </c>
      <c r="AY8" s="13" t="s">
        <v>244</v>
      </c>
      <c r="AZ8" s="13">
        <v>67</v>
      </c>
      <c r="BA8" s="13" t="s">
        <v>245</v>
      </c>
      <c r="BB8" s="13">
        <v>38</v>
      </c>
      <c r="BC8" s="13" t="s">
        <v>246</v>
      </c>
      <c r="BD8" s="13">
        <v>74</v>
      </c>
      <c r="BE8" s="13" t="s">
        <v>247</v>
      </c>
      <c r="BF8" s="13">
        <v>33</v>
      </c>
      <c r="BG8" s="13" t="s">
        <v>214</v>
      </c>
      <c r="BH8" s="13">
        <v>0</v>
      </c>
      <c r="BI8" s="13">
        <v>7</v>
      </c>
      <c r="BJ8" s="13">
        <v>2</v>
      </c>
      <c r="BK8" s="13" t="s">
        <v>181</v>
      </c>
      <c r="BL8" s="13">
        <v>8</v>
      </c>
      <c r="BM8" s="13" t="s">
        <v>155</v>
      </c>
      <c r="BN8" s="13" t="s">
        <v>155</v>
      </c>
    </row>
    <row r="9" spans="1:66" ht="18" customHeight="1" x14ac:dyDescent="0.15">
      <c r="A9" s="11">
        <v>17</v>
      </c>
      <c r="B9" s="12" t="s">
        <v>248</v>
      </c>
      <c r="C9" s="13" t="s">
        <v>158</v>
      </c>
      <c r="D9" s="11">
        <v>10</v>
      </c>
      <c r="E9" s="11">
        <v>957</v>
      </c>
      <c r="F9" s="11">
        <v>96</v>
      </c>
      <c r="G9" s="11">
        <v>1</v>
      </c>
      <c r="H9" s="11">
        <v>0.88</v>
      </c>
      <c r="I9" s="11">
        <v>2</v>
      </c>
      <c r="J9" s="11">
        <v>1.08</v>
      </c>
      <c r="K9" s="13" t="s">
        <v>249</v>
      </c>
      <c r="L9" s="13">
        <v>57</v>
      </c>
      <c r="M9" s="13" t="s">
        <v>250</v>
      </c>
      <c r="N9" s="13">
        <v>87</v>
      </c>
      <c r="O9" s="13" t="s">
        <v>251</v>
      </c>
      <c r="P9" s="13">
        <v>0</v>
      </c>
      <c r="Q9" s="13" t="s">
        <v>210</v>
      </c>
      <c r="R9" s="13">
        <v>0</v>
      </c>
      <c r="S9" s="13" t="s">
        <v>252</v>
      </c>
      <c r="T9" s="13">
        <v>59</v>
      </c>
      <c r="U9" s="11">
        <v>74</v>
      </c>
      <c r="V9" s="11">
        <v>35</v>
      </c>
      <c r="W9" s="11">
        <v>108</v>
      </c>
      <c r="X9" s="11">
        <v>21</v>
      </c>
      <c r="Y9" s="11">
        <v>4</v>
      </c>
      <c r="Z9" s="11">
        <v>0</v>
      </c>
      <c r="AA9" s="11">
        <v>0</v>
      </c>
      <c r="AB9" s="11">
        <v>1785</v>
      </c>
      <c r="AC9" s="13" t="s">
        <v>253</v>
      </c>
      <c r="AD9" s="13" t="s">
        <v>254</v>
      </c>
      <c r="AE9" s="13" t="s">
        <v>255</v>
      </c>
      <c r="AF9" s="13" t="s">
        <v>215</v>
      </c>
      <c r="AG9" s="13" t="s">
        <v>205</v>
      </c>
      <c r="AH9" s="13" t="s">
        <v>233</v>
      </c>
      <c r="AI9" s="13" t="s">
        <v>205</v>
      </c>
      <c r="AJ9" s="13" t="s">
        <v>233</v>
      </c>
      <c r="AK9" s="13">
        <v>3</v>
      </c>
      <c r="AL9" s="13" t="s">
        <v>256</v>
      </c>
      <c r="AM9" s="13" t="s">
        <v>155</v>
      </c>
      <c r="AN9" s="13" t="s">
        <v>214</v>
      </c>
      <c r="AO9" s="13">
        <v>17</v>
      </c>
      <c r="AP9" s="13">
        <v>3</v>
      </c>
      <c r="AQ9" s="13" t="s">
        <v>155</v>
      </c>
      <c r="AR9" s="13">
        <v>1</v>
      </c>
      <c r="AS9" s="13" t="s">
        <v>257</v>
      </c>
      <c r="AT9" s="13">
        <v>75</v>
      </c>
      <c r="AU9" s="13" t="s">
        <v>258</v>
      </c>
      <c r="AV9" s="13">
        <v>97</v>
      </c>
      <c r="AW9" s="13" t="s">
        <v>259</v>
      </c>
      <c r="AX9" s="13">
        <v>96</v>
      </c>
      <c r="AY9" s="13" t="s">
        <v>260</v>
      </c>
      <c r="AZ9" s="13">
        <v>94</v>
      </c>
      <c r="BA9" s="13" t="s">
        <v>261</v>
      </c>
      <c r="BB9" s="13">
        <v>56</v>
      </c>
      <c r="BC9" s="13" t="s">
        <v>262</v>
      </c>
      <c r="BD9" s="13">
        <v>70</v>
      </c>
      <c r="BE9" s="13" t="s">
        <v>263</v>
      </c>
      <c r="BF9" s="13">
        <v>62</v>
      </c>
      <c r="BG9" s="13" t="s">
        <v>264</v>
      </c>
      <c r="BH9" s="13">
        <v>67</v>
      </c>
      <c r="BI9" s="13">
        <v>2</v>
      </c>
      <c r="BJ9" s="13">
        <v>2</v>
      </c>
      <c r="BK9" s="13" t="s">
        <v>206</v>
      </c>
      <c r="BL9" s="13">
        <v>9</v>
      </c>
      <c r="BM9" s="13" t="s">
        <v>155</v>
      </c>
      <c r="BN9" s="13" t="s">
        <v>155</v>
      </c>
    </row>
    <row r="10" spans="1:66" ht="18" customHeight="1" x14ac:dyDescent="0.15">
      <c r="A10" s="14">
        <v>3</v>
      </c>
      <c r="B10" s="15" t="s">
        <v>265</v>
      </c>
      <c r="C10" s="16" t="s">
        <v>266</v>
      </c>
      <c r="D10" s="14">
        <v>10</v>
      </c>
      <c r="E10" s="14">
        <v>688</v>
      </c>
      <c r="F10" s="14">
        <v>69</v>
      </c>
      <c r="G10" s="14">
        <v>0</v>
      </c>
      <c r="H10" s="14">
        <v>0.68</v>
      </c>
      <c r="I10" s="14">
        <v>0</v>
      </c>
      <c r="J10" s="14">
        <v>0.36</v>
      </c>
      <c r="K10" s="16" t="s">
        <v>267</v>
      </c>
      <c r="L10" s="16">
        <v>29</v>
      </c>
      <c r="M10" s="16" t="s">
        <v>268</v>
      </c>
      <c r="N10" s="16">
        <v>76</v>
      </c>
      <c r="O10" s="16" t="s">
        <v>269</v>
      </c>
      <c r="P10" s="16">
        <v>0</v>
      </c>
      <c r="Q10" s="16" t="s">
        <v>249</v>
      </c>
      <c r="R10" s="16">
        <v>57</v>
      </c>
      <c r="S10" s="16" t="s">
        <v>270</v>
      </c>
      <c r="T10" s="16">
        <v>43</v>
      </c>
      <c r="U10" s="14">
        <v>86</v>
      </c>
      <c r="V10" s="14">
        <v>25</v>
      </c>
      <c r="W10" s="14">
        <v>73</v>
      </c>
      <c r="X10" s="14">
        <v>49</v>
      </c>
      <c r="Y10" s="14">
        <v>17</v>
      </c>
      <c r="Z10" s="14">
        <v>0</v>
      </c>
      <c r="AA10" s="14">
        <v>0</v>
      </c>
      <c r="AB10" s="14">
        <v>1267</v>
      </c>
      <c r="AC10" s="16" t="s">
        <v>271</v>
      </c>
      <c r="AD10" s="16" t="s">
        <v>213</v>
      </c>
      <c r="AE10" s="16" t="s">
        <v>272</v>
      </c>
      <c r="AF10" s="16" t="s">
        <v>273</v>
      </c>
      <c r="AG10" s="16" t="s">
        <v>274</v>
      </c>
      <c r="AH10" s="16" t="s">
        <v>275</v>
      </c>
      <c r="AI10" s="16" t="s">
        <v>276</v>
      </c>
      <c r="AJ10" s="16" t="s">
        <v>277</v>
      </c>
      <c r="AK10" s="16">
        <v>1</v>
      </c>
      <c r="AL10" s="16" t="s">
        <v>278</v>
      </c>
      <c r="AM10" s="16" t="s">
        <v>181</v>
      </c>
      <c r="AN10" s="16" t="s">
        <v>279</v>
      </c>
      <c r="AO10" s="16" t="s">
        <v>155</v>
      </c>
      <c r="AP10" s="16" t="s">
        <v>155</v>
      </c>
      <c r="AQ10" s="16" t="s">
        <v>155</v>
      </c>
      <c r="AR10" s="16">
        <v>4</v>
      </c>
      <c r="AS10" s="16" t="s">
        <v>280</v>
      </c>
      <c r="AT10" s="16">
        <v>66</v>
      </c>
      <c r="AU10" s="16" t="s">
        <v>281</v>
      </c>
      <c r="AV10" s="16">
        <v>92</v>
      </c>
      <c r="AW10" s="16" t="s">
        <v>282</v>
      </c>
      <c r="AX10" s="16">
        <v>73</v>
      </c>
      <c r="AY10" s="16" t="s">
        <v>283</v>
      </c>
      <c r="AZ10" s="16">
        <v>80</v>
      </c>
      <c r="BA10" s="16" t="s">
        <v>284</v>
      </c>
      <c r="BB10" s="16">
        <v>47</v>
      </c>
      <c r="BC10" s="16" t="s">
        <v>285</v>
      </c>
      <c r="BD10" s="16">
        <v>66</v>
      </c>
      <c r="BE10" s="16" t="s">
        <v>286</v>
      </c>
      <c r="BF10" s="16">
        <v>66</v>
      </c>
      <c r="BG10" s="16" t="s">
        <v>155</v>
      </c>
      <c r="BH10" s="16">
        <v>0</v>
      </c>
      <c r="BI10" s="16">
        <v>8</v>
      </c>
      <c r="BJ10" s="16">
        <v>3</v>
      </c>
      <c r="BK10" s="16" t="s">
        <v>181</v>
      </c>
      <c r="BL10" s="16">
        <v>8</v>
      </c>
      <c r="BM10" s="16" t="s">
        <v>155</v>
      </c>
      <c r="BN10" s="16" t="s">
        <v>155</v>
      </c>
    </row>
    <row r="11" spans="1:66" ht="18" customHeight="1" x14ac:dyDescent="0.15">
      <c r="A11" s="14">
        <v>4</v>
      </c>
      <c r="B11" s="15" t="s">
        <v>287</v>
      </c>
      <c r="C11" s="16" t="s">
        <v>266</v>
      </c>
      <c r="D11" s="14">
        <v>4</v>
      </c>
      <c r="E11" s="14">
        <v>315</v>
      </c>
      <c r="F11" s="14">
        <v>79</v>
      </c>
      <c r="G11" s="14">
        <v>1</v>
      </c>
      <c r="H11" s="14">
        <v>0.33</v>
      </c>
      <c r="I11" s="14">
        <v>0</v>
      </c>
      <c r="J11" s="14">
        <v>1.17</v>
      </c>
      <c r="K11" s="16" t="s">
        <v>288</v>
      </c>
      <c r="L11" s="16">
        <v>75</v>
      </c>
      <c r="M11" s="16" t="s">
        <v>289</v>
      </c>
      <c r="N11" s="16">
        <v>82</v>
      </c>
      <c r="O11" s="16" t="s">
        <v>290</v>
      </c>
      <c r="P11" s="16">
        <v>50</v>
      </c>
      <c r="Q11" s="16" t="s">
        <v>291</v>
      </c>
      <c r="R11" s="16">
        <v>83</v>
      </c>
      <c r="S11" s="16" t="s">
        <v>292</v>
      </c>
      <c r="T11" s="16">
        <v>60</v>
      </c>
      <c r="U11" s="14">
        <v>34</v>
      </c>
      <c r="V11" s="14">
        <v>10</v>
      </c>
      <c r="W11" s="14">
        <v>54</v>
      </c>
      <c r="X11" s="14">
        <v>34</v>
      </c>
      <c r="Y11" s="14">
        <v>7</v>
      </c>
      <c r="Z11" s="14">
        <v>1</v>
      </c>
      <c r="AA11" s="14">
        <v>0</v>
      </c>
      <c r="AB11" s="14">
        <v>1317</v>
      </c>
      <c r="AC11" s="16" t="s">
        <v>293</v>
      </c>
      <c r="AD11" s="16" t="s">
        <v>294</v>
      </c>
      <c r="AE11" s="16" t="s">
        <v>295</v>
      </c>
      <c r="AF11" s="16" t="s">
        <v>233</v>
      </c>
      <c r="AG11" s="16" t="s">
        <v>296</v>
      </c>
      <c r="AH11" s="16" t="s">
        <v>297</v>
      </c>
      <c r="AI11" s="16" t="s">
        <v>168</v>
      </c>
      <c r="AJ11" s="16" t="s">
        <v>169</v>
      </c>
      <c r="AK11" s="16" t="s">
        <v>155</v>
      </c>
      <c r="AL11" s="16" t="s">
        <v>298</v>
      </c>
      <c r="AM11" s="16" t="s">
        <v>299</v>
      </c>
      <c r="AN11" s="16" t="s">
        <v>300</v>
      </c>
      <c r="AO11" s="16" t="s">
        <v>155</v>
      </c>
      <c r="AP11" s="16" t="s">
        <v>155</v>
      </c>
      <c r="AQ11" s="16" t="s">
        <v>155</v>
      </c>
      <c r="AR11" s="16">
        <v>1</v>
      </c>
      <c r="AS11" s="16" t="s">
        <v>301</v>
      </c>
      <c r="AT11" s="16">
        <v>69</v>
      </c>
      <c r="AU11" s="16" t="s">
        <v>302</v>
      </c>
      <c r="AV11" s="16">
        <v>94</v>
      </c>
      <c r="AW11" s="16" t="s">
        <v>303</v>
      </c>
      <c r="AX11" s="16">
        <v>88</v>
      </c>
      <c r="AY11" s="16" t="s">
        <v>304</v>
      </c>
      <c r="AZ11" s="16">
        <v>85</v>
      </c>
      <c r="BA11" s="16" t="s">
        <v>305</v>
      </c>
      <c r="BB11" s="16">
        <v>29</v>
      </c>
      <c r="BC11" s="16" t="s">
        <v>306</v>
      </c>
      <c r="BD11" s="16">
        <v>75</v>
      </c>
      <c r="BE11" s="16" t="s">
        <v>307</v>
      </c>
      <c r="BF11" s="16">
        <v>71</v>
      </c>
      <c r="BG11" s="16" t="s">
        <v>173</v>
      </c>
      <c r="BH11" s="16">
        <v>50</v>
      </c>
      <c r="BI11" s="16">
        <v>5</v>
      </c>
      <c r="BJ11" s="16">
        <v>3</v>
      </c>
      <c r="BK11" s="16" t="s">
        <v>155</v>
      </c>
      <c r="BL11" s="16">
        <v>4</v>
      </c>
      <c r="BM11" s="16" t="s">
        <v>155</v>
      </c>
      <c r="BN11" s="16" t="s">
        <v>155</v>
      </c>
    </row>
    <row r="12" spans="1:66" ht="18" customHeight="1" x14ac:dyDescent="0.15">
      <c r="A12" s="14">
        <v>8</v>
      </c>
      <c r="B12" s="15" t="s">
        <v>308</v>
      </c>
      <c r="C12" s="16" t="s">
        <v>266</v>
      </c>
      <c r="D12" s="14">
        <v>7</v>
      </c>
      <c r="E12" s="14">
        <v>596</v>
      </c>
      <c r="F12" s="14">
        <v>85</v>
      </c>
      <c r="G12" s="14">
        <v>2</v>
      </c>
      <c r="H12" s="14">
        <v>1.04</v>
      </c>
      <c r="I12" s="14">
        <v>2</v>
      </c>
      <c r="J12" s="14">
        <v>1.74</v>
      </c>
      <c r="K12" s="16" t="s">
        <v>309</v>
      </c>
      <c r="L12" s="16">
        <v>54</v>
      </c>
      <c r="M12" s="16" t="s">
        <v>310</v>
      </c>
      <c r="N12" s="16">
        <v>74</v>
      </c>
      <c r="O12" s="16" t="s">
        <v>311</v>
      </c>
      <c r="P12" s="16">
        <v>50</v>
      </c>
      <c r="Q12" s="16" t="s">
        <v>311</v>
      </c>
      <c r="R12" s="16">
        <v>50</v>
      </c>
      <c r="S12" s="16" t="s">
        <v>312</v>
      </c>
      <c r="T12" s="16">
        <v>53</v>
      </c>
      <c r="U12" s="14">
        <v>63</v>
      </c>
      <c r="V12" s="14">
        <v>6</v>
      </c>
      <c r="W12" s="14">
        <v>39</v>
      </c>
      <c r="X12" s="14">
        <v>27</v>
      </c>
      <c r="Y12" s="14">
        <v>29</v>
      </c>
      <c r="Z12" s="14">
        <v>0</v>
      </c>
      <c r="AA12" s="14">
        <v>0</v>
      </c>
      <c r="AB12" s="14">
        <v>1465</v>
      </c>
      <c r="AC12" s="16" t="s">
        <v>313</v>
      </c>
      <c r="AD12" s="16" t="s">
        <v>314</v>
      </c>
      <c r="AE12" s="16" t="s">
        <v>315</v>
      </c>
      <c r="AF12" s="16" t="s">
        <v>191</v>
      </c>
      <c r="AG12" s="16" t="s">
        <v>316</v>
      </c>
      <c r="AH12" s="16" t="s">
        <v>317</v>
      </c>
      <c r="AI12" s="16" t="s">
        <v>318</v>
      </c>
      <c r="AJ12" s="16" t="s">
        <v>319</v>
      </c>
      <c r="AK12" s="16" t="s">
        <v>155</v>
      </c>
      <c r="AL12" s="16" t="s">
        <v>320</v>
      </c>
      <c r="AM12" s="16" t="s">
        <v>155</v>
      </c>
      <c r="AN12" s="16" t="s">
        <v>173</v>
      </c>
      <c r="AO12" s="16" t="s">
        <v>155</v>
      </c>
      <c r="AP12" s="16" t="s">
        <v>155</v>
      </c>
      <c r="AQ12" s="16" t="s">
        <v>155</v>
      </c>
      <c r="AR12" s="16">
        <v>2</v>
      </c>
      <c r="AS12" s="16" t="s">
        <v>321</v>
      </c>
      <c r="AT12" s="16">
        <v>63</v>
      </c>
      <c r="AU12" s="16" t="s">
        <v>322</v>
      </c>
      <c r="AV12" s="16">
        <v>96</v>
      </c>
      <c r="AW12" s="16" t="s">
        <v>323</v>
      </c>
      <c r="AX12" s="16">
        <v>72</v>
      </c>
      <c r="AY12" s="16" t="s">
        <v>324</v>
      </c>
      <c r="AZ12" s="16">
        <v>78</v>
      </c>
      <c r="BA12" s="16" t="s">
        <v>325</v>
      </c>
      <c r="BB12" s="16">
        <v>57</v>
      </c>
      <c r="BC12" s="16" t="s">
        <v>326</v>
      </c>
      <c r="BD12" s="16">
        <v>74</v>
      </c>
      <c r="BE12" s="16" t="s">
        <v>327</v>
      </c>
      <c r="BF12" s="16">
        <v>54</v>
      </c>
      <c r="BG12" s="16" t="s">
        <v>214</v>
      </c>
      <c r="BH12" s="16">
        <v>0</v>
      </c>
      <c r="BI12" s="16">
        <v>11</v>
      </c>
      <c r="BJ12" s="16">
        <v>4</v>
      </c>
      <c r="BK12" s="16" t="s">
        <v>181</v>
      </c>
      <c r="BL12" s="16">
        <v>11</v>
      </c>
      <c r="BM12" s="16" t="s">
        <v>155</v>
      </c>
      <c r="BN12" s="16" t="s">
        <v>155</v>
      </c>
    </row>
    <row r="13" spans="1:66" ht="18" customHeight="1" x14ac:dyDescent="0.15">
      <c r="A13" s="14">
        <v>10</v>
      </c>
      <c r="B13" s="15" t="s">
        <v>328</v>
      </c>
      <c r="C13" s="16" t="s">
        <v>266</v>
      </c>
      <c r="D13" s="14">
        <v>10</v>
      </c>
      <c r="E13" s="14">
        <v>769</v>
      </c>
      <c r="F13" s="14">
        <v>77</v>
      </c>
      <c r="G13" s="14">
        <v>2</v>
      </c>
      <c r="H13" s="14">
        <v>2.35</v>
      </c>
      <c r="I13" s="14">
        <v>1</v>
      </c>
      <c r="J13" s="14">
        <v>1.75</v>
      </c>
      <c r="K13" s="16" t="s">
        <v>329</v>
      </c>
      <c r="L13" s="16">
        <v>43</v>
      </c>
      <c r="M13" s="16" t="s">
        <v>330</v>
      </c>
      <c r="N13" s="16">
        <v>70</v>
      </c>
      <c r="O13" s="16" t="s">
        <v>331</v>
      </c>
      <c r="P13" s="16">
        <v>33</v>
      </c>
      <c r="Q13" s="16" t="s">
        <v>332</v>
      </c>
      <c r="R13" s="16">
        <v>57</v>
      </c>
      <c r="S13" s="16" t="s">
        <v>333</v>
      </c>
      <c r="T13" s="16">
        <v>54</v>
      </c>
      <c r="U13" s="14">
        <v>119</v>
      </c>
      <c r="V13" s="14">
        <v>24</v>
      </c>
      <c r="W13" s="14">
        <v>76</v>
      </c>
      <c r="X13" s="14">
        <v>49</v>
      </c>
      <c r="Y13" s="14">
        <v>19</v>
      </c>
      <c r="Z13" s="14">
        <v>0</v>
      </c>
      <c r="AA13" s="14">
        <v>0</v>
      </c>
      <c r="AB13" s="14">
        <v>1526</v>
      </c>
      <c r="AC13" s="16" t="s">
        <v>334</v>
      </c>
      <c r="AD13" s="16" t="s">
        <v>335</v>
      </c>
      <c r="AE13" s="16" t="s">
        <v>336</v>
      </c>
      <c r="AF13" s="16" t="s">
        <v>337</v>
      </c>
      <c r="AG13" s="16" t="s">
        <v>338</v>
      </c>
      <c r="AH13" s="16" t="s">
        <v>337</v>
      </c>
      <c r="AI13" s="16" t="s">
        <v>339</v>
      </c>
      <c r="AJ13" s="16" t="s">
        <v>340</v>
      </c>
      <c r="AK13" s="16">
        <v>1</v>
      </c>
      <c r="AL13" s="16" t="s">
        <v>341</v>
      </c>
      <c r="AM13" s="16" t="s">
        <v>196</v>
      </c>
      <c r="AN13" s="16" t="s">
        <v>342</v>
      </c>
      <c r="AO13" s="16" t="s">
        <v>155</v>
      </c>
      <c r="AP13" s="16" t="s">
        <v>155</v>
      </c>
      <c r="AQ13" s="16" t="s">
        <v>343</v>
      </c>
      <c r="AR13" s="16">
        <v>2</v>
      </c>
      <c r="AS13" s="16" t="s">
        <v>344</v>
      </c>
      <c r="AT13" s="16">
        <v>57</v>
      </c>
      <c r="AU13" s="16" t="s">
        <v>345</v>
      </c>
      <c r="AV13" s="16">
        <v>89</v>
      </c>
      <c r="AW13" s="16" t="s">
        <v>346</v>
      </c>
      <c r="AX13" s="16">
        <v>73</v>
      </c>
      <c r="AY13" s="16" t="s">
        <v>347</v>
      </c>
      <c r="AZ13" s="16">
        <v>77</v>
      </c>
      <c r="BA13" s="16" t="s">
        <v>348</v>
      </c>
      <c r="BB13" s="16">
        <v>25</v>
      </c>
      <c r="BC13" s="16" t="s">
        <v>349</v>
      </c>
      <c r="BD13" s="16">
        <v>74</v>
      </c>
      <c r="BE13" s="16" t="s">
        <v>350</v>
      </c>
      <c r="BF13" s="16">
        <v>56</v>
      </c>
      <c r="BG13" s="16" t="s">
        <v>316</v>
      </c>
      <c r="BH13" s="16">
        <v>33</v>
      </c>
      <c r="BI13" s="16">
        <v>10</v>
      </c>
      <c r="BJ13" s="16">
        <v>5</v>
      </c>
      <c r="BK13" s="16" t="s">
        <v>155</v>
      </c>
      <c r="BL13" s="16">
        <v>13</v>
      </c>
      <c r="BM13" s="16" t="s">
        <v>155</v>
      </c>
      <c r="BN13" s="16" t="s">
        <v>155</v>
      </c>
    </row>
    <row r="14" spans="1:66" ht="18" customHeight="1" x14ac:dyDescent="0.15">
      <c r="A14" s="14">
        <v>11</v>
      </c>
      <c r="B14" s="15" t="s">
        <v>351</v>
      </c>
      <c r="C14" s="16" t="s">
        <v>266</v>
      </c>
      <c r="D14" s="14">
        <v>9</v>
      </c>
      <c r="E14" s="14">
        <v>864</v>
      </c>
      <c r="F14" s="14">
        <v>96</v>
      </c>
      <c r="G14" s="14">
        <v>2</v>
      </c>
      <c r="H14" s="14">
        <v>0.88</v>
      </c>
      <c r="I14" s="14">
        <v>1</v>
      </c>
      <c r="J14" s="14">
        <v>7.0000000000000007E-2</v>
      </c>
      <c r="K14" s="16" t="s">
        <v>352</v>
      </c>
      <c r="L14" s="16">
        <v>23</v>
      </c>
      <c r="M14" s="16" t="s">
        <v>353</v>
      </c>
      <c r="N14" s="16">
        <v>73</v>
      </c>
      <c r="O14" s="16" t="s">
        <v>225</v>
      </c>
      <c r="P14" s="16">
        <v>33</v>
      </c>
      <c r="Q14" s="16" t="s">
        <v>354</v>
      </c>
      <c r="R14" s="16">
        <v>77</v>
      </c>
      <c r="S14" s="16" t="s">
        <v>355</v>
      </c>
      <c r="T14" s="16">
        <v>68</v>
      </c>
      <c r="U14" s="14">
        <v>118</v>
      </c>
      <c r="V14" s="14">
        <v>44</v>
      </c>
      <c r="W14" s="14">
        <v>132</v>
      </c>
      <c r="X14" s="14">
        <v>34</v>
      </c>
      <c r="Y14" s="14">
        <v>12</v>
      </c>
      <c r="Z14" s="14">
        <v>1</v>
      </c>
      <c r="AA14" s="14">
        <v>0</v>
      </c>
      <c r="AB14" s="14">
        <v>1511</v>
      </c>
      <c r="AC14" s="16" t="s">
        <v>356</v>
      </c>
      <c r="AD14" s="16" t="s">
        <v>357</v>
      </c>
      <c r="AE14" s="16" t="s">
        <v>358</v>
      </c>
      <c r="AF14" s="16" t="s">
        <v>359</v>
      </c>
      <c r="AG14" s="16" t="s">
        <v>360</v>
      </c>
      <c r="AH14" s="16" t="s">
        <v>361</v>
      </c>
      <c r="AI14" s="16" t="s">
        <v>362</v>
      </c>
      <c r="AJ14" s="16" t="s">
        <v>363</v>
      </c>
      <c r="AK14" s="16">
        <v>3</v>
      </c>
      <c r="AL14" s="16" t="s">
        <v>364</v>
      </c>
      <c r="AM14" s="16" t="s">
        <v>196</v>
      </c>
      <c r="AN14" s="16" t="s">
        <v>365</v>
      </c>
      <c r="AO14" s="16">
        <v>2</v>
      </c>
      <c r="AP14" s="16" t="s">
        <v>155</v>
      </c>
      <c r="AQ14" s="16" t="s">
        <v>155</v>
      </c>
      <c r="AR14" s="16">
        <v>1</v>
      </c>
      <c r="AS14" s="16" t="s">
        <v>366</v>
      </c>
      <c r="AT14" s="16">
        <v>63</v>
      </c>
      <c r="AU14" s="16" t="s">
        <v>367</v>
      </c>
      <c r="AV14" s="16">
        <v>92</v>
      </c>
      <c r="AW14" s="16" t="s">
        <v>368</v>
      </c>
      <c r="AX14" s="16">
        <v>85</v>
      </c>
      <c r="AY14" s="16" t="s">
        <v>369</v>
      </c>
      <c r="AZ14" s="16">
        <v>82</v>
      </c>
      <c r="BA14" s="16" t="s">
        <v>370</v>
      </c>
      <c r="BB14" s="16">
        <v>36</v>
      </c>
      <c r="BC14" s="16" t="s">
        <v>371</v>
      </c>
      <c r="BD14" s="16">
        <v>64</v>
      </c>
      <c r="BE14" s="16" t="s">
        <v>372</v>
      </c>
      <c r="BF14" s="16">
        <v>55</v>
      </c>
      <c r="BG14" s="16" t="s">
        <v>373</v>
      </c>
      <c r="BH14" s="16">
        <v>33</v>
      </c>
      <c r="BI14" s="16">
        <v>5</v>
      </c>
      <c r="BJ14" s="16">
        <v>1</v>
      </c>
      <c r="BK14" s="16" t="s">
        <v>155</v>
      </c>
      <c r="BL14" s="16">
        <v>5</v>
      </c>
      <c r="BM14" s="16" t="s">
        <v>155</v>
      </c>
      <c r="BN14" s="16" t="s">
        <v>155</v>
      </c>
    </row>
    <row r="15" spans="1:66" ht="18" customHeight="1" x14ac:dyDescent="0.15">
      <c r="A15" s="17">
        <v>6</v>
      </c>
      <c r="B15" s="18" t="s">
        <v>374</v>
      </c>
      <c r="C15" s="19" t="s">
        <v>375</v>
      </c>
      <c r="D15" s="17">
        <v>8</v>
      </c>
      <c r="E15" s="17">
        <v>246</v>
      </c>
      <c r="F15" s="17">
        <v>31</v>
      </c>
      <c r="G15" s="17">
        <v>0</v>
      </c>
      <c r="H15" s="17">
        <v>0.62</v>
      </c>
      <c r="I15" s="17">
        <v>0</v>
      </c>
      <c r="J15" s="17">
        <v>0.13</v>
      </c>
      <c r="K15" s="19" t="s">
        <v>331</v>
      </c>
      <c r="L15" s="19">
        <v>33</v>
      </c>
      <c r="M15" s="19" t="s">
        <v>376</v>
      </c>
      <c r="N15" s="19">
        <v>70</v>
      </c>
      <c r="O15" s="19" t="s">
        <v>162</v>
      </c>
      <c r="P15" s="19">
        <v>50</v>
      </c>
      <c r="Q15" s="19" t="s">
        <v>377</v>
      </c>
      <c r="R15" s="19">
        <v>50</v>
      </c>
      <c r="S15" s="19" t="s">
        <v>378</v>
      </c>
      <c r="T15" s="19">
        <v>56</v>
      </c>
      <c r="U15" s="17">
        <v>36</v>
      </c>
      <c r="V15" s="17">
        <v>4</v>
      </c>
      <c r="W15" s="17">
        <v>7</v>
      </c>
      <c r="X15" s="17">
        <v>4</v>
      </c>
      <c r="Y15" s="17">
        <v>11</v>
      </c>
      <c r="Z15" s="17">
        <v>0</v>
      </c>
      <c r="AA15" s="17">
        <v>0</v>
      </c>
      <c r="AB15" s="17">
        <v>1339</v>
      </c>
      <c r="AC15" s="19" t="s">
        <v>379</v>
      </c>
      <c r="AD15" s="19" t="s">
        <v>380</v>
      </c>
      <c r="AE15" s="19" t="s">
        <v>381</v>
      </c>
      <c r="AF15" s="19" t="s">
        <v>382</v>
      </c>
      <c r="AG15" s="19" t="s">
        <v>264</v>
      </c>
      <c r="AH15" s="19" t="s">
        <v>383</v>
      </c>
      <c r="AI15" s="19" t="s">
        <v>338</v>
      </c>
      <c r="AJ15" s="19" t="s">
        <v>337</v>
      </c>
      <c r="AK15" s="19">
        <v>1</v>
      </c>
      <c r="AL15" s="19" t="s">
        <v>384</v>
      </c>
      <c r="AM15" s="19" t="s">
        <v>155</v>
      </c>
      <c r="AN15" s="19" t="s">
        <v>234</v>
      </c>
      <c r="AO15" s="19" t="s">
        <v>155</v>
      </c>
      <c r="AP15" s="19" t="s">
        <v>155</v>
      </c>
      <c r="AQ15" s="19" t="s">
        <v>155</v>
      </c>
      <c r="AR15" s="19" t="s">
        <v>155</v>
      </c>
      <c r="AS15" s="19" t="s">
        <v>197</v>
      </c>
      <c r="AT15" s="19">
        <v>57</v>
      </c>
      <c r="AU15" s="19" t="s">
        <v>385</v>
      </c>
      <c r="AV15" s="19">
        <v>71</v>
      </c>
      <c r="AW15" s="19" t="s">
        <v>386</v>
      </c>
      <c r="AX15" s="19">
        <v>81</v>
      </c>
      <c r="AY15" s="19" t="s">
        <v>387</v>
      </c>
      <c r="AZ15" s="19">
        <v>75</v>
      </c>
      <c r="BA15" s="19" t="s">
        <v>299</v>
      </c>
      <c r="BB15" s="19">
        <v>25</v>
      </c>
      <c r="BC15" s="19" t="s">
        <v>388</v>
      </c>
      <c r="BD15" s="19">
        <v>86</v>
      </c>
      <c r="BE15" s="19" t="s">
        <v>205</v>
      </c>
      <c r="BF15" s="19">
        <v>50</v>
      </c>
      <c r="BG15" s="19" t="s">
        <v>155</v>
      </c>
      <c r="BH15" s="19">
        <v>0</v>
      </c>
      <c r="BI15" s="19">
        <v>2</v>
      </c>
      <c r="BJ15" s="19">
        <v>1</v>
      </c>
      <c r="BK15" s="19" t="s">
        <v>155</v>
      </c>
      <c r="BL15" s="19">
        <v>1</v>
      </c>
      <c r="BM15" s="19" t="s">
        <v>155</v>
      </c>
      <c r="BN15" s="19" t="s">
        <v>155</v>
      </c>
    </row>
    <row r="16" spans="1:66" ht="18" customHeight="1" x14ac:dyDescent="0.15">
      <c r="A16" s="17">
        <v>9</v>
      </c>
      <c r="B16" s="18" t="s">
        <v>389</v>
      </c>
      <c r="C16" s="19" t="s">
        <v>375</v>
      </c>
      <c r="D16" s="17">
        <v>10</v>
      </c>
      <c r="E16" s="17">
        <v>938</v>
      </c>
      <c r="F16" s="17">
        <v>94</v>
      </c>
      <c r="G16" s="17">
        <v>0</v>
      </c>
      <c r="H16" s="17">
        <v>0.16</v>
      </c>
      <c r="I16" s="17">
        <v>0</v>
      </c>
      <c r="J16" s="17">
        <v>0.08</v>
      </c>
      <c r="K16" s="19" t="s">
        <v>159</v>
      </c>
      <c r="L16" s="19">
        <v>40</v>
      </c>
      <c r="M16" s="19" t="s">
        <v>390</v>
      </c>
      <c r="N16" s="19">
        <v>86</v>
      </c>
      <c r="O16" s="19" t="s">
        <v>391</v>
      </c>
      <c r="P16" s="19">
        <v>20</v>
      </c>
      <c r="Q16" s="19" t="s">
        <v>392</v>
      </c>
      <c r="R16" s="19">
        <v>73</v>
      </c>
      <c r="S16" s="19" t="s">
        <v>393</v>
      </c>
      <c r="T16" s="19">
        <v>60</v>
      </c>
      <c r="U16" s="17">
        <v>109</v>
      </c>
      <c r="V16" s="17">
        <v>54</v>
      </c>
      <c r="W16" s="17">
        <v>145</v>
      </c>
      <c r="X16" s="17">
        <v>44</v>
      </c>
      <c r="Y16" s="17">
        <v>2</v>
      </c>
      <c r="Z16" s="17">
        <v>1</v>
      </c>
      <c r="AA16" s="17">
        <v>0</v>
      </c>
      <c r="AB16" s="17">
        <v>1424</v>
      </c>
      <c r="AC16" s="19" t="s">
        <v>394</v>
      </c>
      <c r="AD16" s="19" t="s">
        <v>189</v>
      </c>
      <c r="AE16" s="19" t="s">
        <v>395</v>
      </c>
      <c r="AF16" s="19" t="s">
        <v>396</v>
      </c>
      <c r="AG16" s="19" t="s">
        <v>205</v>
      </c>
      <c r="AH16" s="19" t="s">
        <v>233</v>
      </c>
      <c r="AI16" s="19" t="s">
        <v>397</v>
      </c>
      <c r="AJ16" s="19" t="s">
        <v>398</v>
      </c>
      <c r="AK16" s="19" t="s">
        <v>155</v>
      </c>
      <c r="AL16" s="19" t="s">
        <v>399</v>
      </c>
      <c r="AM16" s="19" t="s">
        <v>155</v>
      </c>
      <c r="AN16" s="19" t="s">
        <v>400</v>
      </c>
      <c r="AO16" s="19" t="s">
        <v>155</v>
      </c>
      <c r="AP16" s="19" t="s">
        <v>155</v>
      </c>
      <c r="AQ16" s="19" t="s">
        <v>155</v>
      </c>
      <c r="AR16" s="19">
        <v>97</v>
      </c>
      <c r="AS16" s="19" t="s">
        <v>401</v>
      </c>
      <c r="AT16" s="19">
        <v>80</v>
      </c>
      <c r="AU16" s="19" t="s">
        <v>402</v>
      </c>
      <c r="AV16" s="19">
        <v>91</v>
      </c>
      <c r="AW16" s="19" t="s">
        <v>403</v>
      </c>
      <c r="AX16" s="19">
        <v>91</v>
      </c>
      <c r="AY16" s="19" t="s">
        <v>404</v>
      </c>
      <c r="AZ16" s="19">
        <v>89</v>
      </c>
      <c r="BA16" s="19" t="s">
        <v>405</v>
      </c>
      <c r="BB16" s="19">
        <v>47</v>
      </c>
      <c r="BC16" s="19" t="s">
        <v>406</v>
      </c>
      <c r="BD16" s="19">
        <v>73</v>
      </c>
      <c r="BE16" s="19" t="s">
        <v>407</v>
      </c>
      <c r="BF16" s="19">
        <v>76</v>
      </c>
      <c r="BG16" s="19" t="s">
        <v>214</v>
      </c>
      <c r="BH16" s="19">
        <v>0</v>
      </c>
      <c r="BI16" s="19">
        <v>0</v>
      </c>
      <c r="BJ16" s="19">
        <v>0</v>
      </c>
      <c r="BK16" s="19" t="s">
        <v>181</v>
      </c>
      <c r="BL16" s="19">
        <v>3</v>
      </c>
      <c r="BM16" s="19" t="s">
        <v>155</v>
      </c>
      <c r="BN16" s="19" t="s">
        <v>155</v>
      </c>
    </row>
    <row r="17" spans="1:66" ht="18" customHeight="1" x14ac:dyDescent="0.15">
      <c r="A17" s="17">
        <v>12</v>
      </c>
      <c r="B17" s="18" t="s">
        <v>408</v>
      </c>
      <c r="C17" s="19" t="s">
        <v>375</v>
      </c>
      <c r="D17" s="17">
        <v>6</v>
      </c>
      <c r="E17" s="17">
        <v>73</v>
      </c>
      <c r="F17" s="17">
        <v>12</v>
      </c>
      <c r="G17" s="17">
        <v>1</v>
      </c>
      <c r="H17" s="17">
        <v>1.1000000000000001</v>
      </c>
      <c r="I17" s="17">
        <v>0</v>
      </c>
      <c r="J17" s="17">
        <v>0</v>
      </c>
      <c r="K17" s="19" t="s">
        <v>267</v>
      </c>
      <c r="L17" s="19">
        <v>29</v>
      </c>
      <c r="M17" s="19" t="s">
        <v>409</v>
      </c>
      <c r="N17" s="19">
        <v>69</v>
      </c>
      <c r="O17" s="19" t="s">
        <v>208</v>
      </c>
      <c r="P17" s="19">
        <v>0</v>
      </c>
      <c r="Q17" s="19" t="s">
        <v>249</v>
      </c>
      <c r="R17" s="19">
        <v>57</v>
      </c>
      <c r="S17" s="19" t="s">
        <v>227</v>
      </c>
      <c r="T17" s="19">
        <v>29</v>
      </c>
      <c r="U17" s="17">
        <v>7</v>
      </c>
      <c r="V17" s="17">
        <v>1</v>
      </c>
      <c r="W17" s="17">
        <v>2</v>
      </c>
      <c r="X17" s="17">
        <v>1</v>
      </c>
      <c r="Y17" s="17">
        <v>7</v>
      </c>
      <c r="Z17" s="17">
        <v>0</v>
      </c>
      <c r="AA17" s="17">
        <v>0</v>
      </c>
      <c r="AB17" s="17">
        <v>1722</v>
      </c>
      <c r="AC17" s="19" t="s">
        <v>410</v>
      </c>
      <c r="AD17" s="19" t="s">
        <v>215</v>
      </c>
      <c r="AE17" s="19" t="s">
        <v>342</v>
      </c>
      <c r="AF17" s="19" t="s">
        <v>167</v>
      </c>
      <c r="AG17" s="19" t="s">
        <v>155</v>
      </c>
      <c r="AH17" s="19" t="s">
        <v>155</v>
      </c>
      <c r="AI17" s="19" t="s">
        <v>196</v>
      </c>
      <c r="AJ17" s="19" t="s">
        <v>235</v>
      </c>
      <c r="AK17" s="19" t="s">
        <v>155</v>
      </c>
      <c r="AL17" s="19" t="s">
        <v>155</v>
      </c>
      <c r="AM17" s="19" t="s">
        <v>155</v>
      </c>
      <c r="AN17" s="19" t="s">
        <v>155</v>
      </c>
      <c r="AO17" s="19" t="s">
        <v>155</v>
      </c>
      <c r="AP17" s="19" t="s">
        <v>155</v>
      </c>
      <c r="AQ17" s="19" t="s">
        <v>155</v>
      </c>
      <c r="AR17" s="19" t="s">
        <v>155</v>
      </c>
      <c r="AS17" s="19" t="s">
        <v>173</v>
      </c>
      <c r="AT17" s="19">
        <v>50</v>
      </c>
      <c r="AU17" s="19" t="s">
        <v>411</v>
      </c>
      <c r="AV17" s="19">
        <v>83</v>
      </c>
      <c r="AW17" s="19" t="s">
        <v>173</v>
      </c>
      <c r="AX17" s="19">
        <v>50</v>
      </c>
      <c r="AY17" s="19" t="s">
        <v>412</v>
      </c>
      <c r="AZ17" s="19">
        <v>75</v>
      </c>
      <c r="BA17" s="19" t="s">
        <v>181</v>
      </c>
      <c r="BB17" s="19">
        <v>0</v>
      </c>
      <c r="BC17" s="19" t="s">
        <v>181</v>
      </c>
      <c r="BD17" s="19">
        <v>0</v>
      </c>
      <c r="BE17" s="19" t="s">
        <v>238</v>
      </c>
      <c r="BF17" s="19">
        <v>0</v>
      </c>
      <c r="BG17" s="19" t="s">
        <v>181</v>
      </c>
      <c r="BH17" s="19">
        <v>0</v>
      </c>
      <c r="BI17" s="19">
        <v>2</v>
      </c>
      <c r="BJ17" s="19">
        <v>1</v>
      </c>
      <c r="BK17" s="19" t="s">
        <v>155</v>
      </c>
      <c r="BL17" s="19">
        <v>1</v>
      </c>
      <c r="BM17" s="19" t="s">
        <v>155</v>
      </c>
      <c r="BN17" s="19" t="s">
        <v>155</v>
      </c>
    </row>
    <row r="18" spans="1:66" ht="18" customHeight="1" x14ac:dyDescent="0.15">
      <c r="A18" s="17">
        <v>13</v>
      </c>
      <c r="B18" s="18" t="s">
        <v>413</v>
      </c>
      <c r="C18" s="19" t="s">
        <v>375</v>
      </c>
      <c r="D18" s="17">
        <v>8</v>
      </c>
      <c r="E18" s="17">
        <v>768</v>
      </c>
      <c r="F18" s="17">
        <v>96</v>
      </c>
      <c r="G18" s="17">
        <v>1</v>
      </c>
      <c r="H18" s="17">
        <v>0.2</v>
      </c>
      <c r="I18" s="17">
        <v>2</v>
      </c>
      <c r="J18" s="17">
        <v>1.34</v>
      </c>
      <c r="K18" s="19" t="s">
        <v>414</v>
      </c>
      <c r="L18" s="19">
        <v>33</v>
      </c>
      <c r="M18" s="19" t="s">
        <v>415</v>
      </c>
      <c r="N18" s="19">
        <v>77</v>
      </c>
      <c r="O18" s="19" t="s">
        <v>225</v>
      </c>
      <c r="P18" s="19">
        <v>33</v>
      </c>
      <c r="Q18" s="19" t="s">
        <v>416</v>
      </c>
      <c r="R18" s="19">
        <v>55</v>
      </c>
      <c r="S18" s="19" t="s">
        <v>417</v>
      </c>
      <c r="T18" s="19">
        <v>52</v>
      </c>
      <c r="U18" s="17">
        <v>124</v>
      </c>
      <c r="V18" s="17">
        <v>43</v>
      </c>
      <c r="W18" s="17">
        <v>95</v>
      </c>
      <c r="X18" s="17">
        <v>51</v>
      </c>
      <c r="Y18" s="17">
        <v>5</v>
      </c>
      <c r="Z18" s="17">
        <v>1</v>
      </c>
      <c r="AA18" s="17">
        <v>0</v>
      </c>
      <c r="AB18" s="17">
        <v>1611</v>
      </c>
      <c r="AC18" s="19" t="s">
        <v>164</v>
      </c>
      <c r="AD18" s="19" t="s">
        <v>165</v>
      </c>
      <c r="AE18" s="19" t="s">
        <v>418</v>
      </c>
      <c r="AF18" s="19" t="s">
        <v>419</v>
      </c>
      <c r="AG18" s="19" t="s">
        <v>420</v>
      </c>
      <c r="AH18" s="19" t="s">
        <v>421</v>
      </c>
      <c r="AI18" s="19" t="s">
        <v>279</v>
      </c>
      <c r="AJ18" s="19" t="s">
        <v>422</v>
      </c>
      <c r="AK18" s="19" t="s">
        <v>155</v>
      </c>
      <c r="AL18" s="19" t="s">
        <v>423</v>
      </c>
      <c r="AM18" s="19" t="s">
        <v>155</v>
      </c>
      <c r="AN18" s="19" t="s">
        <v>410</v>
      </c>
      <c r="AO18" s="19">
        <v>2</v>
      </c>
      <c r="AP18" s="19" t="s">
        <v>155</v>
      </c>
      <c r="AQ18" s="19" t="s">
        <v>424</v>
      </c>
      <c r="AR18" s="19">
        <v>13</v>
      </c>
      <c r="AS18" s="19" t="s">
        <v>425</v>
      </c>
      <c r="AT18" s="19">
        <v>61</v>
      </c>
      <c r="AU18" s="19" t="s">
        <v>426</v>
      </c>
      <c r="AV18" s="19">
        <v>96</v>
      </c>
      <c r="AW18" s="19" t="s">
        <v>427</v>
      </c>
      <c r="AX18" s="19">
        <v>88</v>
      </c>
      <c r="AY18" s="19" t="s">
        <v>428</v>
      </c>
      <c r="AZ18" s="19">
        <v>81</v>
      </c>
      <c r="BA18" s="19" t="s">
        <v>429</v>
      </c>
      <c r="BB18" s="19">
        <v>44</v>
      </c>
      <c r="BC18" s="19" t="s">
        <v>430</v>
      </c>
      <c r="BD18" s="19">
        <v>63</v>
      </c>
      <c r="BE18" s="19" t="s">
        <v>263</v>
      </c>
      <c r="BF18" s="19">
        <v>62</v>
      </c>
      <c r="BG18" s="19" t="s">
        <v>173</v>
      </c>
      <c r="BH18" s="19">
        <v>50</v>
      </c>
      <c r="BI18" s="19">
        <v>2</v>
      </c>
      <c r="BJ18" s="19">
        <v>1</v>
      </c>
      <c r="BK18" s="19" t="s">
        <v>155</v>
      </c>
      <c r="BL18" s="19">
        <v>12</v>
      </c>
      <c r="BM18" s="19" t="s">
        <v>155</v>
      </c>
      <c r="BN18" s="19" t="s">
        <v>155</v>
      </c>
    </row>
    <row r="19" spans="1:66" ht="18" customHeight="1" x14ac:dyDescent="0.15">
      <c r="A19" s="17">
        <v>15</v>
      </c>
      <c r="B19" s="18" t="s">
        <v>431</v>
      </c>
      <c r="C19" s="19" t="s">
        <v>375</v>
      </c>
      <c r="D19" s="17">
        <v>10</v>
      </c>
      <c r="E19" s="17">
        <v>888</v>
      </c>
      <c r="F19" s="17">
        <v>89</v>
      </c>
      <c r="G19" s="17">
        <v>8</v>
      </c>
      <c r="H19" s="17">
        <v>4.26</v>
      </c>
      <c r="I19" s="17">
        <v>2</v>
      </c>
      <c r="J19" s="17">
        <v>1.92</v>
      </c>
      <c r="K19" s="19" t="s">
        <v>432</v>
      </c>
      <c r="L19" s="19">
        <v>48</v>
      </c>
      <c r="M19" s="19" t="s">
        <v>433</v>
      </c>
      <c r="N19" s="19">
        <v>65</v>
      </c>
      <c r="O19" s="19" t="s">
        <v>434</v>
      </c>
      <c r="P19" s="19">
        <v>29</v>
      </c>
      <c r="Q19" s="19" t="s">
        <v>435</v>
      </c>
      <c r="R19" s="19">
        <v>54</v>
      </c>
      <c r="S19" s="19" t="s">
        <v>436</v>
      </c>
      <c r="T19" s="19">
        <v>44</v>
      </c>
      <c r="U19" s="17">
        <v>197</v>
      </c>
      <c r="V19" s="17">
        <v>32</v>
      </c>
      <c r="W19" s="17">
        <v>71</v>
      </c>
      <c r="X19" s="17">
        <v>47</v>
      </c>
      <c r="Y19" s="17">
        <v>41</v>
      </c>
      <c r="Z19" s="17">
        <v>0</v>
      </c>
      <c r="AA19" s="17">
        <v>0</v>
      </c>
      <c r="AB19" s="17">
        <v>1698</v>
      </c>
      <c r="AC19" s="19" t="s">
        <v>437</v>
      </c>
      <c r="AD19" s="19" t="s">
        <v>438</v>
      </c>
      <c r="AE19" s="19" t="s">
        <v>439</v>
      </c>
      <c r="AF19" s="19" t="s">
        <v>167</v>
      </c>
      <c r="AG19" s="19" t="s">
        <v>440</v>
      </c>
      <c r="AH19" s="19" t="s">
        <v>194</v>
      </c>
      <c r="AI19" s="19" t="s">
        <v>441</v>
      </c>
      <c r="AJ19" s="19" t="s">
        <v>442</v>
      </c>
      <c r="AK19" s="19" t="s">
        <v>155</v>
      </c>
      <c r="AL19" s="19" t="s">
        <v>443</v>
      </c>
      <c r="AM19" s="19" t="s">
        <v>444</v>
      </c>
      <c r="AN19" s="19" t="s">
        <v>365</v>
      </c>
      <c r="AO19" s="19">
        <v>3</v>
      </c>
      <c r="AP19" s="19" t="s">
        <v>155</v>
      </c>
      <c r="AQ19" s="19" t="s">
        <v>445</v>
      </c>
      <c r="AR19" s="19">
        <v>27</v>
      </c>
      <c r="AS19" s="19" t="s">
        <v>446</v>
      </c>
      <c r="AT19" s="19">
        <v>53</v>
      </c>
      <c r="AU19" s="19" t="s">
        <v>447</v>
      </c>
      <c r="AV19" s="19">
        <v>90</v>
      </c>
      <c r="AW19" s="19" t="s">
        <v>448</v>
      </c>
      <c r="AX19" s="19">
        <v>58</v>
      </c>
      <c r="AY19" s="19" t="s">
        <v>449</v>
      </c>
      <c r="AZ19" s="19">
        <v>74</v>
      </c>
      <c r="BA19" s="19" t="s">
        <v>450</v>
      </c>
      <c r="BB19" s="19">
        <v>47</v>
      </c>
      <c r="BC19" s="19" t="s">
        <v>451</v>
      </c>
      <c r="BD19" s="19">
        <v>69</v>
      </c>
      <c r="BE19" s="19" t="s">
        <v>452</v>
      </c>
      <c r="BF19" s="19">
        <v>49</v>
      </c>
      <c r="BG19" s="19" t="s">
        <v>384</v>
      </c>
      <c r="BH19" s="19">
        <v>0</v>
      </c>
      <c r="BI19" s="19">
        <v>15</v>
      </c>
      <c r="BJ19" s="19">
        <v>6</v>
      </c>
      <c r="BK19" s="19" t="s">
        <v>155</v>
      </c>
      <c r="BL19" s="19">
        <v>20</v>
      </c>
      <c r="BM19" s="19" t="s">
        <v>155</v>
      </c>
      <c r="BN19" s="19" t="s">
        <v>155</v>
      </c>
    </row>
    <row r="20" spans="1:66" ht="18" customHeight="1" x14ac:dyDescent="0.15">
      <c r="A20" s="17">
        <v>18</v>
      </c>
      <c r="B20" s="18" t="s">
        <v>453</v>
      </c>
      <c r="C20" s="19" t="s">
        <v>375</v>
      </c>
      <c r="D20" s="17">
        <v>9</v>
      </c>
      <c r="E20" s="17">
        <v>306</v>
      </c>
      <c r="F20" s="17">
        <v>34</v>
      </c>
      <c r="G20" s="17">
        <v>0</v>
      </c>
      <c r="H20" s="17">
        <v>0.03</v>
      </c>
      <c r="I20" s="17">
        <v>0</v>
      </c>
      <c r="J20" s="17">
        <v>7.0000000000000007E-2</v>
      </c>
      <c r="K20" s="19" t="s">
        <v>454</v>
      </c>
      <c r="L20" s="19">
        <v>25</v>
      </c>
      <c r="M20" s="19" t="s">
        <v>455</v>
      </c>
      <c r="N20" s="19">
        <v>71</v>
      </c>
      <c r="O20" s="19" t="s">
        <v>454</v>
      </c>
      <c r="P20" s="19">
        <v>25</v>
      </c>
      <c r="Q20" s="19" t="s">
        <v>456</v>
      </c>
      <c r="R20" s="19">
        <v>43</v>
      </c>
      <c r="S20" s="19" t="s">
        <v>457</v>
      </c>
      <c r="T20" s="19">
        <v>55</v>
      </c>
      <c r="U20" s="17">
        <v>46</v>
      </c>
      <c r="V20" s="17">
        <v>4</v>
      </c>
      <c r="W20" s="17">
        <v>26</v>
      </c>
      <c r="X20" s="17">
        <v>12</v>
      </c>
      <c r="Y20" s="17">
        <v>8</v>
      </c>
      <c r="Z20" s="17">
        <v>0</v>
      </c>
      <c r="AA20" s="17">
        <v>0</v>
      </c>
      <c r="AB20" s="17">
        <v>1809</v>
      </c>
      <c r="AC20" s="19" t="s">
        <v>458</v>
      </c>
      <c r="AD20" s="19" t="s">
        <v>254</v>
      </c>
      <c r="AE20" s="19" t="s">
        <v>193</v>
      </c>
      <c r="AF20" s="19" t="s">
        <v>194</v>
      </c>
      <c r="AG20" s="19" t="s">
        <v>264</v>
      </c>
      <c r="AH20" s="19" t="s">
        <v>383</v>
      </c>
      <c r="AI20" s="19" t="s">
        <v>459</v>
      </c>
      <c r="AJ20" s="19" t="s">
        <v>460</v>
      </c>
      <c r="AK20" s="19">
        <v>1</v>
      </c>
      <c r="AL20" s="19" t="s">
        <v>461</v>
      </c>
      <c r="AM20" s="19" t="s">
        <v>155</v>
      </c>
      <c r="AN20" s="19" t="s">
        <v>462</v>
      </c>
      <c r="AO20" s="19" t="s">
        <v>155</v>
      </c>
      <c r="AP20" s="19" t="s">
        <v>155</v>
      </c>
      <c r="AQ20" s="19" t="s">
        <v>155</v>
      </c>
      <c r="AR20" s="19" t="s">
        <v>155</v>
      </c>
      <c r="AS20" s="19" t="s">
        <v>463</v>
      </c>
      <c r="AT20" s="19">
        <v>54</v>
      </c>
      <c r="AU20" s="19" t="s">
        <v>464</v>
      </c>
      <c r="AV20" s="19">
        <v>90</v>
      </c>
      <c r="AW20" s="19" t="s">
        <v>465</v>
      </c>
      <c r="AX20" s="19">
        <v>64</v>
      </c>
      <c r="AY20" s="19" t="s">
        <v>466</v>
      </c>
      <c r="AZ20" s="19">
        <v>75</v>
      </c>
      <c r="BA20" s="19" t="s">
        <v>467</v>
      </c>
      <c r="BB20" s="19">
        <v>40</v>
      </c>
      <c r="BC20" s="19" t="s">
        <v>468</v>
      </c>
      <c r="BD20" s="19">
        <v>93</v>
      </c>
      <c r="BE20" s="19" t="s">
        <v>469</v>
      </c>
      <c r="BF20" s="19">
        <v>41</v>
      </c>
      <c r="BG20" s="19" t="s">
        <v>214</v>
      </c>
      <c r="BH20" s="19">
        <v>0</v>
      </c>
      <c r="BI20" s="19">
        <v>4</v>
      </c>
      <c r="BJ20" s="19">
        <v>2</v>
      </c>
      <c r="BK20" s="19" t="s">
        <v>155</v>
      </c>
      <c r="BL20" s="19">
        <v>4</v>
      </c>
      <c r="BM20" s="19" t="s">
        <v>155</v>
      </c>
      <c r="BN20" s="19" t="s">
        <v>155</v>
      </c>
    </row>
    <row r="21" spans="1:66" ht="18" customHeight="1" x14ac:dyDescent="0.15">
      <c r="A21" s="17">
        <v>44</v>
      </c>
      <c r="B21" s="18" t="s">
        <v>470</v>
      </c>
      <c r="C21" s="19" t="s">
        <v>375</v>
      </c>
      <c r="D21" s="17">
        <v>2</v>
      </c>
      <c r="E21" s="17">
        <v>32</v>
      </c>
      <c r="F21" s="17">
        <v>16</v>
      </c>
      <c r="G21" s="17">
        <v>0</v>
      </c>
      <c r="H21" s="17">
        <v>0.17</v>
      </c>
      <c r="I21" s="17">
        <v>0</v>
      </c>
      <c r="J21" s="17">
        <v>0</v>
      </c>
      <c r="K21" s="19" t="s">
        <v>251</v>
      </c>
      <c r="L21" s="19">
        <v>0</v>
      </c>
      <c r="M21" s="19" t="s">
        <v>354</v>
      </c>
      <c r="N21" s="19">
        <v>77</v>
      </c>
      <c r="O21" s="19" t="s">
        <v>208</v>
      </c>
      <c r="P21" s="19">
        <v>0</v>
      </c>
      <c r="Q21" s="19" t="s">
        <v>208</v>
      </c>
      <c r="R21" s="19">
        <v>0</v>
      </c>
      <c r="S21" s="19" t="s">
        <v>471</v>
      </c>
      <c r="T21" s="19">
        <v>33</v>
      </c>
      <c r="U21" s="17">
        <v>2</v>
      </c>
      <c r="V21" s="17">
        <v>0</v>
      </c>
      <c r="W21" s="17">
        <v>1</v>
      </c>
      <c r="X21" s="17">
        <v>0</v>
      </c>
      <c r="Y21" s="17">
        <v>1</v>
      </c>
      <c r="Z21" s="17">
        <v>0</v>
      </c>
      <c r="AA21" s="17">
        <v>0</v>
      </c>
      <c r="AB21" s="17">
        <v>1330</v>
      </c>
      <c r="AC21" s="19" t="s">
        <v>173</v>
      </c>
      <c r="AD21" s="19" t="s">
        <v>233</v>
      </c>
      <c r="AE21" s="19" t="s">
        <v>155</v>
      </c>
      <c r="AF21" s="19" t="s">
        <v>155</v>
      </c>
      <c r="AG21" s="19" t="s">
        <v>155</v>
      </c>
      <c r="AH21" s="19" t="s">
        <v>155</v>
      </c>
      <c r="AI21" s="19" t="s">
        <v>181</v>
      </c>
      <c r="AJ21" s="19" t="s">
        <v>215</v>
      </c>
      <c r="AK21" s="19" t="s">
        <v>155</v>
      </c>
      <c r="AL21" s="19" t="s">
        <v>214</v>
      </c>
      <c r="AM21" s="19" t="s">
        <v>155</v>
      </c>
      <c r="AN21" s="19" t="s">
        <v>155</v>
      </c>
      <c r="AO21" s="19" t="s">
        <v>155</v>
      </c>
      <c r="AP21" s="19" t="s">
        <v>155</v>
      </c>
      <c r="AQ21" s="19" t="s">
        <v>155</v>
      </c>
      <c r="AR21" s="19" t="s">
        <v>155</v>
      </c>
      <c r="AS21" s="19" t="s">
        <v>472</v>
      </c>
      <c r="AT21" s="19">
        <v>50</v>
      </c>
      <c r="AU21" s="19" t="s">
        <v>444</v>
      </c>
      <c r="AV21" s="19">
        <v>100</v>
      </c>
      <c r="AW21" s="19" t="s">
        <v>234</v>
      </c>
      <c r="AX21" s="19">
        <v>100</v>
      </c>
      <c r="AY21" s="19" t="s">
        <v>473</v>
      </c>
      <c r="AZ21" s="19">
        <v>83</v>
      </c>
      <c r="BA21" s="19" t="s">
        <v>181</v>
      </c>
      <c r="BB21" s="19">
        <v>0</v>
      </c>
      <c r="BC21" s="19" t="s">
        <v>181</v>
      </c>
      <c r="BD21" s="19">
        <v>0</v>
      </c>
      <c r="BE21" s="19" t="s">
        <v>155</v>
      </c>
      <c r="BF21" s="19">
        <v>0</v>
      </c>
      <c r="BG21" s="19" t="s">
        <v>155</v>
      </c>
      <c r="BH21" s="19">
        <v>0</v>
      </c>
      <c r="BI21" s="19">
        <v>0</v>
      </c>
      <c r="BJ21" s="19">
        <v>0</v>
      </c>
      <c r="BK21" s="19" t="s">
        <v>155</v>
      </c>
      <c r="BL21" s="19">
        <v>0</v>
      </c>
      <c r="BM21" s="19" t="s">
        <v>155</v>
      </c>
      <c r="BN21" s="19" t="s">
        <v>155</v>
      </c>
    </row>
  </sheetData>
  <mergeCells count="7">
    <mergeCell ref="B1:C1"/>
    <mergeCell ref="AC1:AR1"/>
    <mergeCell ref="BM1:BN1"/>
    <mergeCell ref="D1:J1"/>
    <mergeCell ref="K1:T1"/>
    <mergeCell ref="AS1:BL1"/>
    <mergeCell ref="U1:A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WyscoutReport</vt:lpstr>
      <vt:lpstr>TeamStats</vt:lpstr>
      <vt:lpstr>PlayerStats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axlsx</dc:creator>
  <cp:lastModifiedBy>Thalita ziero</cp:lastModifiedBy>
  <cp:revision>0</cp:revision>
  <dcterms:created xsi:type="dcterms:W3CDTF">2026-06-13T03:54:35Z</dcterms:created>
  <dcterms:modified xsi:type="dcterms:W3CDTF">2026-06-13T15:32:01Z</dcterms:modified>
</cp:coreProperties>
</file>