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CC2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2.88988764044944"/>
    <col min="3" max="3" bestFit="true" customWidth="true" width="23.98988764044944"/>
    <col min="4" max="4" bestFit="true" customWidth="true" width="7.489887640449439"/>
    <col min="5" max="5" bestFit="true" customWidth="true" width="12.989887640449439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7.4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8.48988764044944"/>
    <col min="34" max="34" bestFit="true" customWidth="true" width="4.189887640449439"/>
    <col min="35" max="35" bestFit="true" customWidth="true" width="7.489887640449439"/>
    <col min="36" max="36" bestFit="true" customWidth="true" width="16.28988764044944"/>
    <col min="37" max="37" bestFit="true" customWidth="true" width="5.289887640449439"/>
    <col min="38" max="38" bestFit="true" customWidth="true" width="7.489887640449439"/>
    <col min="39" max="39" bestFit="true" customWidth="true" width="11.8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18.48988764044944"/>
    <col min="44" max="44" bestFit="true" customWidth="true" width="18.48988764044944"/>
    <col min="45" max="45" bestFit="true" customWidth="true" width="19.58988764044944"/>
    <col min="46" max="46" bestFit="true" customWidth="true" width="6.389887640449439"/>
    <col min="47" max="47" bestFit="true" customWidth="true" width="7.489887640449439"/>
    <col min="48" max="48" bestFit="true" customWidth="true" width="14.08988764044944"/>
    <col min="49" max="49" bestFit="true" customWidth="true" width="18.48988764044944"/>
    <col min="50" max="50" bestFit="true" customWidth="true" width="6.389887640449439"/>
    <col min="51" max="51" bestFit="true" customWidth="true" width="7.489887640449439"/>
    <col min="52" max="52" bestFit="true" customWidth="true" width="20.68988764044944"/>
    <col min="53" max="53" bestFit="true" customWidth="true" width="7.489887640449439"/>
    <col min="54" max="54" bestFit="true" customWidth="true" width="7.489887640449439"/>
    <col min="55" max="55" bestFit="true" customWidth="true" width="16.28988764044944"/>
    <col min="56" max="56" bestFit="true" customWidth="true" width="6.389887640449439"/>
    <col min="57" max="57" bestFit="true" customWidth="true" width="7.489887640449439"/>
    <col min="58" max="58" bestFit="true" customWidth="true" width="16.28988764044944"/>
    <col min="59" max="59" bestFit="true" customWidth="true" width="5.289887640449439"/>
    <col min="60" max="60" bestFit="true" customWidth="true" width="7.489887640449439"/>
    <col min="61" max="61" bestFit="true" customWidth="true" width="9.68988764044944"/>
    <col min="62" max="62" bestFit="true" customWidth="true" width="7.489887640449439"/>
    <col min="63" max="63" bestFit="true" customWidth="true" width="6.389887640449439"/>
    <col min="64" max="64" bestFit="true" customWidth="true" width="9.68988764044944"/>
    <col min="65" max="65" bestFit="true" customWidth="true" width="8.589887640449438"/>
    <col min="66" max="66" bestFit="true" customWidth="true" width="15.18988764044944"/>
    <col min="67" max="67" bestFit="true" customWidth="true" width="7.489887640449439"/>
    <col min="68" max="68" bestFit="true" customWidth="true" width="7.489887640449439"/>
    <col min="69" max="69" bestFit="true" customWidth="true" width="15.18988764044944"/>
    <col min="70" max="70" bestFit="true" customWidth="true" width="6.389887640449439"/>
    <col min="71" max="71" bestFit="true" customWidth="true" width="7.489887640449439"/>
    <col min="72" max="72" bestFit="true" customWidth="true" width="18.48988764044944"/>
    <col min="73" max="73" bestFit="true" customWidth="true" width="6.389887640449439"/>
    <col min="74" max="74" bestFit="true" customWidth="true" width="7.489887640449439"/>
    <col min="75" max="75" bestFit="true" customWidth="true" width="18.48988764044944"/>
    <col min="76" max="76" bestFit="true" customWidth="true" width="7.489887640449439"/>
    <col min="77" max="77" bestFit="true" customWidth="true" width="7.489887640449439"/>
    <col min="78" max="78" bestFit="true" customWidth="true" width="15.18988764044944"/>
    <col min="79" max="79" bestFit="true" customWidth="true" width="6.389887640449439"/>
    <col min="80" max="80" bestFit="true" customWidth="true" width="7.489887640449439"/>
    <col min="81" max="81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Set pieces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Corners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Crosses / accurate</t>
        </is>
      </c>
      <c r="AN1" s="0" t="inlineStr">
        <is>
          <t/>
        </is>
      </c>
      <c r="AO1" s="0" t="inlineStr">
        <is>
          <t/>
        </is>
      </c>
      <c r="AP1" s="0" t="inlineStr">
        <is>
          <t>Deep completed crosses</t>
        </is>
      </c>
      <c r="AQ1" s="0" t="inlineStr">
        <is>
          <t>Deep completed passes</t>
        </is>
      </c>
      <c r="AR1" s="0" t="inlineStr">
        <is>
          <t>Touches in penalty area</t>
        </is>
      </c>
      <c r="AS1" s="0" t="inlineStr">
        <is>
          <t>Offensive duels / won</t>
        </is>
      </c>
      <c r="AT1" s="0" t="inlineStr">
        <is>
          <t/>
        </is>
      </c>
      <c r="AU1" s="0" t="inlineStr">
        <is>
          <t/>
        </is>
      </c>
      <c r="AV1" s="0" t="inlineStr">
        <is>
          <t>Conceded goals</t>
        </is>
      </c>
      <c r="AW1" s="0" t="inlineStr">
        <is>
          <t>Shots against / on target</t>
        </is>
      </c>
      <c r="AX1" s="0" t="inlineStr">
        <is>
          <t/>
        </is>
      </c>
      <c r="AY1" s="0" t="inlineStr">
        <is>
          <t/>
        </is>
      </c>
      <c r="AZ1" s="0" t="inlineStr">
        <is>
          <t>Defensive duels / won</t>
        </is>
      </c>
      <c r="BA1" s="0" t="inlineStr">
        <is>
          <t/>
        </is>
      </c>
      <c r="BB1" s="0" t="inlineStr">
        <is>
          <t/>
        </is>
      </c>
      <c r="BC1" s="0" t="inlineStr">
        <is>
          <t>Aerial duels / won</t>
        </is>
      </c>
      <c r="BD1" s="0" t="inlineStr">
        <is>
          <t/>
        </is>
      </c>
      <c r="BE1" s="0" t="inlineStr">
        <is>
          <t/>
        </is>
      </c>
      <c r="BF1" s="0" t="inlineStr">
        <is>
          <t>Sliding tackles / successful</t>
        </is>
      </c>
      <c r="BG1" s="0" t="inlineStr">
        <is>
          <t/>
        </is>
      </c>
      <c r="BH1" s="0" t="inlineStr">
        <is>
          <t/>
        </is>
      </c>
      <c r="BI1" s="0" t="inlineStr">
        <is>
          <t>Interceptions</t>
        </is>
      </c>
      <c r="BJ1" s="0" t="inlineStr">
        <is>
          <t>Clearances</t>
        </is>
      </c>
      <c r="BK1" s="0" t="inlineStr">
        <is>
          <t>Fouls</t>
        </is>
      </c>
      <c r="BL1" s="0" t="inlineStr">
        <is>
          <t>Yellow cards</t>
        </is>
      </c>
      <c r="BM1" s="0" t="inlineStr">
        <is>
          <t>Red cards</t>
        </is>
      </c>
      <c r="BN1" s="0" t="inlineStr">
        <is>
          <t>Forward passes / accurate</t>
        </is>
      </c>
      <c r="BO1" s="0" t="inlineStr">
        <is>
          <t/>
        </is>
      </c>
      <c r="BP1" s="0" t="inlineStr">
        <is>
          <t/>
        </is>
      </c>
      <c r="BQ1" s="0" t="inlineStr">
        <is>
          <t>Long passes / accurate</t>
        </is>
      </c>
      <c r="BR1" s="0" t="inlineStr">
        <is>
          <t/>
        </is>
      </c>
      <c r="BS1" s="0" t="inlineStr">
        <is>
          <t/>
        </is>
      </c>
      <c r="BT1" s="0" t="inlineStr">
        <is>
          <t>Passes to final third / accurate</t>
        </is>
      </c>
      <c r="BU1" s="0" t="inlineStr">
        <is>
          <t/>
        </is>
      </c>
      <c r="BV1" s="0" t="inlineStr">
        <is>
          <t/>
        </is>
      </c>
      <c r="BW1" s="0" t="inlineStr">
        <is>
          <t>Progressive passes / accurate</t>
        </is>
      </c>
      <c r="BX1" s="0" t="inlineStr">
        <is>
          <t/>
        </is>
      </c>
      <c r="BY1" s="0" t="inlineStr">
        <is>
          <t/>
        </is>
      </c>
      <c r="BZ1" s="0" t="inlineStr">
        <is>
          <t>Throw ins / accurate</t>
        </is>
      </c>
      <c r="CA1" s="0" t="inlineStr">
        <is>
          <t/>
        </is>
      </c>
      <c r="CB1" s="0" t="inlineStr">
        <is>
          <t/>
        </is>
      </c>
      <c r="CC1" s="0" t="inlineStr">
        <is>
          <t>PPDA</t>
        </is>
      </c>
    </row>
    <row r="2">
      <c r="A2" s="3" t="inlineStr">
        <is>
          <t>Perth</t>
        </is>
      </c>
      <c r="B2" s="3"/>
      <c r="C2" s="3"/>
      <c r="D2" s="3"/>
      <c r="E2" s="3"/>
      <c r="F2" s="3"/>
      <c r="G2" s="3" t="str">
        <f>AVERAGE(G4,G6,G8,G10,G12,G14,G16,G18,G20,G22)</f>
      </c>
      <c r="H2" s="3" t="str">
        <f>AVERAGE(H4,H6,H8,H10,H12,H14,H16,H18,H20,H22)</f>
      </c>
      <c r="I2" s="3" t="str">
        <f>AVERAGE(I4,I6,I8,I10,I12,I14,I16,I18,I20,I22)</f>
      </c>
      <c r="J2" s="3" t="str">
        <f>AVERAGE(J4,J6,J8,J10,J12,J14,J16,J18,J20,J22)</f>
      </c>
      <c r="K2" s="3" t="str">
        <f>IFERROR(SUM(J4,J6,J8,J10,J12,J14,J16,J18,J20,J22)/SUM(I4,I6,I8,I10,I12,I14,I16,I18,I20,I22)*100,0)</f>
      </c>
      <c r="L2" s="3" t="str">
        <f>AVERAGE(L4,L6,L8,L10,L12,L14,L16,L18,L20,L22)</f>
      </c>
      <c r="M2" s="3" t="str">
        <f>AVERAGE(M4,M6,M8,M10,M12,M14,M16,M18,M20,M22)</f>
      </c>
      <c r="N2" s="3" t="str">
        <f>IFERROR(SUM(M4,M6,M8,M10,M12,M14,M16,M18,M20,M22)/SUM(L4,L6,L8,L10,L12,L14,L16,L18,L20,L22)*100,0)</f>
      </c>
      <c r="O2" s="3" t="str">
        <f>AVERAGE(O4,O6,O8,O10,O12,O14,O16,O18,O20,O22)</f>
      </c>
      <c r="P2" s="3" t="str">
        <f>AVERAGE(P4,P6,P8,P10,P12,P14,P16,P18,P20,P22)</f>
      </c>
      <c r="Q2" s="3" t="str">
        <f>AVERAGE(Q4,Q6,Q8,Q10,Q12,Q14,Q16,Q18,Q20,Q22)</f>
      </c>
      <c r="R2" s="3" t="str">
        <f>AVERAGE(R4,R6,R8,R10,R12,R14,R16,R18,R20,R22)</f>
      </c>
      <c r="S2" s="3" t="str">
        <f>AVERAGE(S4,S6,S8,S10,S12,S14,S16,S18,S20,S22)</f>
      </c>
      <c r="T2" s="3" t="str">
        <f>AVERAGE(T4,T6,T8,T10,T12,T14,T16,T18,T20,T22)</f>
      </c>
      <c r="U2" s="3" t="str">
        <f>AVERAGE(U4,U6,U8,U10,U12,U14,U16,U18,U20,U22)</f>
      </c>
      <c r="V2" s="3" t="str">
        <f>AVERAGE(V4,V6,V8,V10,V12,V14,V16,V18,V20,V22)</f>
      </c>
      <c r="W2" s="3" t="str">
        <f>AVERAGE(W4,W6,W8,W10,W12,W14,W16,W18,W20,W22)</f>
      </c>
      <c r="X2" s="3" t="str">
        <f>AVERAGE(X4,X6,X8,X10,X12,X14,X16,X18,X20,X22)</f>
      </c>
      <c r="Y2" s="3" t="str">
        <f>AVERAGE(Y4,Y6,Y8,Y10,Y12,Y14,Y16,Y18,Y20,Y22)</f>
      </c>
      <c r="Z2" s="3" t="str">
        <f>IFERROR(SUM(Y4,Y6,Y8,Y10,Y12,Y14,Y16,Y18,Y20,Y22)/SUM(X4,X6,X8,X10,X12,X14,X16,X18,X20,X22)*100,0)</f>
      </c>
      <c r="AA2" s="3" t="str">
        <f>AVERAGE(AA4,AA6,AA8,AA10,AA12,AA14,AA16,AA18,AA20,AA22)</f>
      </c>
      <c r="AB2" s="3" t="str">
        <f>AVERAGE(AB4,AB6,AB8,AB10,AB12,AB14,AB16,AB18,AB20,AB22)</f>
      </c>
      <c r="AC2" s="3" t="str">
        <f>IFERROR(SUM(AB4,AB6,AB8,AB10,AB12,AB14,AB16,AB18,AB20,AB22)/SUM(AA4,AA6,AA8,AA10,AA12,AA14,AA16,AA18,AA20,AA22)*100,0)</f>
      </c>
      <c r="AD2" s="3" t="str">
        <f>AVERAGE(AD4,AD6,AD8,AD10,AD12,AD14,AD16,AD18,AD20,AD22)</f>
      </c>
      <c r="AE2" s="3" t="str">
        <f>AVERAGE(AE4,AE6,AE8,AE10,AE12,AE14,AE16,AE18,AE20,AE22)</f>
      </c>
      <c r="AF2" s="3" t="str">
        <f>IFERROR(SUM(AE4,AE6,AE8,AE10,AE12,AE14,AE16,AE18,AE20,AE22)/SUM(AD4,AD6,AD8,AD10,AD12,AD14,AD16,AD18,AD20,AD22)*100,0)</f>
      </c>
      <c r="AG2" s="3" t="str">
        <f>AVERAGE(AG4,AG6,AG8,AG10,AG12,AG14,AG16,AG18,AG20,AG22)</f>
      </c>
      <c r="AH2" s="3" t="str">
        <f>AVERAGE(AH4,AH6,AH8,AH10,AH12,AH14,AH16,AH18,AH20,AH22)</f>
      </c>
      <c r="AI2" s="3" t="str">
        <f>IFERROR(SUM(AH4,AH6,AH8,AH10,AH12,AH14,AH16,AH18,AH20,AH22)/SUM(AG4,AG6,AG8,AG10,AG12,AG14,AG16,AG18,AG20,AG22)*100,0)</f>
      </c>
      <c r="AJ2" s="3" t="str">
        <f>AVERAGE(AJ4,AJ6,AJ8,AJ10,AJ12,AJ14,AJ16,AJ18,AJ20,AJ22)</f>
      </c>
      <c r="AK2" s="3" t="str">
        <f>AVERAGE(AK4,AK6,AK8,AK10,AK12,AK14,AK16,AK18,AK20,AK22)</f>
      </c>
      <c r="AL2" s="3" t="str">
        <f>IFERROR(SUM(AK4,AK6,AK8,AK10,AK12,AK14,AK16,AK18,AK20,AK22)/SUM(AJ4,AJ6,AJ8,AJ10,AJ12,AJ14,AJ16,AJ18,AJ20,AJ22)*100,0)</f>
      </c>
      <c r="AM2" s="3" t="str">
        <f>AVERAGE(AM4,AM6,AM8,AM10,AM12,AM14,AM16,AM18,AM20,AM22)</f>
      </c>
      <c r="AN2" s="3" t="str">
        <f>AVERAGE(AN4,AN6,AN8,AN10,AN12,AN14,AN16,AN18,AN20,AN22)</f>
      </c>
      <c r="AO2" s="3" t="str">
        <f>IFERROR(SUM(AN4,AN6,AN8,AN10,AN12,AN14,AN16,AN18,AN20,AN22)/SUM(AM4,AM6,AM8,AM10,AM12,AM14,AM16,AM18,AM20,AM22)*100,0)</f>
      </c>
      <c r="AP2" s="3" t="str">
        <f>AVERAGE(AP4,AP6,AP8,AP10,AP12,AP14,AP16,AP18,AP20,AP22)</f>
      </c>
      <c r="AQ2" s="3" t="str">
        <f>AVERAGE(AQ4,AQ6,AQ8,AQ10,AQ12,AQ14,AQ16,AQ18,AQ20,AQ22)</f>
      </c>
      <c r="AR2" s="3" t="str">
        <f>AVERAGE(AR4,AR6,AR8,AR10,AR12,AR14,AR16,AR18,AR20,AR22)</f>
      </c>
      <c r="AS2" s="3" t="str">
        <f>AVERAGE(AS4,AS6,AS8,AS10,AS12,AS14,AS16,AS18,AS20,AS22)</f>
      </c>
      <c r="AT2" s="3" t="str">
        <f>AVERAGE(AT4,AT6,AT8,AT10,AT12,AT14,AT16,AT18,AT20,AT22)</f>
      </c>
      <c r="AU2" s="3" t="str">
        <f>IFERROR(SUM(AT4,AT6,AT8,AT10,AT12,AT14,AT16,AT18,AT20,AT22)/SUM(AS4,AS6,AS8,AS10,AS12,AS14,AS16,AS18,AS20,AS22)*100,0)</f>
      </c>
      <c r="AV2" s="3" t="str">
        <f>AVERAGE(AV4,AV6,AV8,AV10,AV12,AV14,AV16,AV18,AV20,AV22)</f>
      </c>
      <c r="AW2" s="3" t="str">
        <f>AVERAGE(AW4,AW6,AW8,AW10,AW12,AW14,AW16,AW18,AW20,AW22)</f>
      </c>
      <c r="AX2" s="3" t="str">
        <f>AVERAGE(AX4,AX6,AX8,AX10,AX12,AX14,AX16,AX18,AX20,AX22)</f>
      </c>
      <c r="AY2" s="3" t="str">
        <f>IFERROR(SUM(AX4,AX6,AX8,AX10,AX12,AX14,AX16,AX18,AX20,AX22)/SUM(AW4,AW6,AW8,AW10,AW12,AW14,AW16,AW18,AW20,AW22)*100,0)</f>
      </c>
      <c r="AZ2" s="3" t="str">
        <f>AVERAGE(AZ4,AZ6,AZ8,AZ10,AZ12,AZ14,AZ16,AZ18,AZ20,AZ22)</f>
      </c>
      <c r="BA2" s="3" t="str">
        <f>AVERAGE(BA4,BA6,BA8,BA10,BA12,BA14,BA16,BA18,BA20,BA22)</f>
      </c>
      <c r="BB2" s="3" t="str">
        <f>IFERROR(SUM(BA4,BA6,BA8,BA10,BA12,BA14,BA16,BA18,BA20,BA22)/SUM(AZ4,AZ6,AZ8,AZ10,AZ12,AZ14,AZ16,AZ18,AZ20,AZ22)*100,0)</f>
      </c>
      <c r="BC2" s="3" t="str">
        <f>AVERAGE(BC4,BC6,BC8,BC10,BC12,BC14,BC16,BC18,BC20,BC22)</f>
      </c>
      <c r="BD2" s="3" t="str">
        <f>AVERAGE(BD4,BD6,BD8,BD10,BD12,BD14,BD16,BD18,BD20,BD22)</f>
      </c>
      <c r="BE2" s="3" t="str">
        <f>IFERROR(SUM(BD4,BD6,BD8,BD10,BD12,BD14,BD16,BD18,BD20,BD22)/SUM(BC4,BC6,BC8,BC10,BC12,BC14,BC16,BC18,BC20,BC22)*100,0)</f>
      </c>
      <c r="BF2" s="3" t="str">
        <f>AVERAGE(BF4,BF6,BF8,BF10,BF12,BF14,BF16,BF18,BF20,BF22)</f>
      </c>
      <c r="BG2" s="3" t="str">
        <f>AVERAGE(BG4,BG6,BG8,BG10,BG12,BG14,BG16,BG18,BG20,BG22)</f>
      </c>
      <c r="BH2" s="3" t="str">
        <f>IFERROR(SUM(BG4,BG6,BG8,BG10,BG12,BG14,BG16,BG18,BG20,BG22)/SUM(BF4,BF6,BF8,BF10,BF12,BF14,BF16,BF18,BF20,BF22)*100,0)</f>
      </c>
      <c r="BI2" s="3" t="str">
        <f>AVERAGE(BI4,BI6,BI8,BI10,BI12,BI14,BI16,BI18,BI20,BI22)</f>
      </c>
      <c r="BJ2" s="3" t="str">
        <f>AVERAGE(BJ4,BJ6,BJ8,BJ10,BJ12,BJ14,BJ16,BJ18,BJ20,BJ22)</f>
      </c>
      <c r="BK2" s="3" t="str">
        <f>AVERAGE(BK4,BK6,BK8,BK10,BK12,BK14,BK16,BK18,BK20,BK22)</f>
      </c>
      <c r="BL2" s="3" t="str">
        <f>AVERAGE(BL4,BL6,BL8,BL10,BL12,BL14,BL16,BL18,BL20,BL22)</f>
      </c>
      <c r="BM2" s="3" t="str">
        <f>AVERAGE(BM4,BM6,BM8,BM10,BM12,BM14,BM16,BM18,BM20,BM22)</f>
      </c>
      <c r="BN2" s="3" t="str">
        <f>AVERAGE(BN4,BN6,BN8,BN10,BN12,BN14,BN16,BN18,BN20,BN22)</f>
      </c>
      <c r="BO2" s="3" t="str">
        <f>AVERAGE(BO4,BO6,BO8,BO10,BO12,BO14,BO16,BO18,BO20,BO22)</f>
      </c>
      <c r="BP2" s="3" t="str">
        <f>IFERROR(SUM(BO4,BO6,BO8,BO10,BO12,BO14,BO16,BO18,BO20,BO22)/SUM(BN4,BN6,BN8,BN10,BN12,BN14,BN16,BN18,BN20,BN22)*100,0)</f>
      </c>
      <c r="BQ2" s="3" t="str">
        <f>AVERAGE(BQ4,BQ6,BQ8,BQ10,BQ12,BQ14,BQ16,BQ18,BQ20,BQ22)</f>
      </c>
      <c r="BR2" s="3" t="str">
        <f>AVERAGE(BR4,BR6,BR8,BR10,BR12,BR14,BR16,BR18,BR20,BR22)</f>
      </c>
      <c r="BS2" s="3" t="str">
        <f>IFERROR(SUM(BR4,BR6,BR8,BR10,BR12,BR14,BR16,BR18,BR20,BR22)/SUM(BQ4,BQ6,BQ8,BQ10,BQ12,BQ14,BQ16,BQ18,BQ20,BQ22)*100,0)</f>
      </c>
      <c r="BT2" s="3" t="str">
        <f>AVERAGE(BT4,BT6,BT8,BT10,BT12,BT14,BT16,BT18,BT20,BT22)</f>
      </c>
      <c r="BU2" s="3" t="str">
        <f>AVERAGE(BU4,BU6,BU8,BU10,BU12,BU14,BU16,BU18,BU20,BU22)</f>
      </c>
      <c r="BV2" s="3" t="str">
        <f>IFERROR(SUM(BU4,BU6,BU8,BU10,BU12,BU14,BU16,BU18,BU20,BU22)/SUM(BT4,BT6,BT8,BT10,BT12,BT14,BT16,BT18,BT20,BT22)*100,0)</f>
      </c>
      <c r="BW2" s="3" t="str">
        <f>AVERAGE(BW4,BW6,BW8,BW10,BW12,BW14,BW16,BW18,BW20,BW22)</f>
      </c>
      <c r="BX2" s="3" t="str">
        <f>AVERAGE(BX4,BX6,BX8,BX10,BX12,BX14,BX16,BX18,BX20,BX22)</f>
      </c>
      <c r="BY2" s="3" t="str">
        <f>IFERROR(SUM(BX4,BX6,BX8,BX10,BX12,BX14,BX16,BX18,BX20,BX22)/SUM(BW4,BW6,BW8,BW10,BW12,BW14,BW16,BW18,BW20,BW22)*100,0)</f>
      </c>
      <c r="BZ2" s="3" t="str">
        <f>AVERAGE(BZ4,BZ6,BZ8,BZ10,BZ12,BZ14,BZ16,BZ18,BZ20,BZ22)</f>
      </c>
      <c r="CA2" s="3" t="str">
        <f>AVERAGE(CA4,CA6,CA8,CA10,CA12,CA14,CA16,CA18,CA20,CA22)</f>
      </c>
      <c r="CB2" s="3" t="str">
        <f>IFERROR(SUM(CA4,CA6,CA8,CA10,CA12,CA14,CA16,CA18,CA20,CA22)/SUM(BZ4,BZ6,BZ8,BZ10,BZ12,BZ14,BZ16,BZ18,BZ20,BZ22)*100,0)</f>
      </c>
      <c r="CC2" s="3" t="str">
        <f>AVERAGE(CC4,CC6,CC8,CC10,CC12,CC14,CC16,CC18,CC20,CC22)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AVERAGE(G5,G7,G9,G11,G13,G15,G17,G19,G21,G23)</f>
      </c>
      <c r="H3" s="3" t="str">
        <f>AVERAGE(H5,H7,H9,H11,H13,H15,H17,H19,H21,H23)</f>
      </c>
      <c r="I3" s="3" t="str">
        <f>AVERAGE(I5,I7,I9,I11,I13,I15,I17,I19,I21,I23)</f>
      </c>
      <c r="J3" s="3" t="str">
        <f>AVERAGE(J5,J7,J9,J11,J13,J15,J17,J19,J21,J23)</f>
      </c>
      <c r="K3" s="3" t="str">
        <f>IFERROR(SUM(J5,J7,J9,J11,J13,J15,J17,J19,J21,J23)/SUM(I5,I7,I9,I11,I13,I15,I17,I19,I21,I23)*100,0)</f>
      </c>
      <c r="L3" s="3" t="str">
        <f>AVERAGE(L5,L7,L9,L11,L13,L15,L17,L19,L21,L23)</f>
      </c>
      <c r="M3" s="3" t="str">
        <f>AVERAGE(M5,M7,M9,M11,M13,M15,M17,M19,M21,M23)</f>
      </c>
      <c r="N3" s="3" t="str">
        <f>IFERROR(SUM(M5,M7,M9,M11,M13,M15,M17,M19,M21,M23)/SUM(L5,L7,L9,L11,L13,L15,L17,L19,L21,L23)*100,0)</f>
      </c>
      <c r="O3" s="3" t="str">
        <f>AVERAGE(O5,O7,O9,O11,O13,O15,O17,O19,O21,O23)</f>
      </c>
      <c r="P3" s="3" t="str">
        <f>AVERAGE(P5,P7,P9,P11,P13,P15,P17,P19,P21,P23)</f>
      </c>
      <c r="Q3" s="3" t="str">
        <f>AVERAGE(Q5,Q7,Q9,Q11,Q13,Q15,Q17,Q19,Q21,Q23)</f>
      </c>
      <c r="R3" s="3" t="str">
        <f>AVERAGE(R5,R7,R9,R11,R13,R15,R17,R19,R21,R23)</f>
      </c>
      <c r="S3" s="3" t="str">
        <f>AVERAGE(S5,S7,S9,S11,S13,S15,S17,S19,S21,S23)</f>
      </c>
      <c r="T3" s="3" t="str">
        <f>AVERAGE(T5,T7,T9,T11,T13,T15,T17,T19,T21,T23)</f>
      </c>
      <c r="U3" s="3" t="str">
        <f>AVERAGE(U5,U7,U9,U11,U13,U15,U17,U19,U21,U23)</f>
      </c>
      <c r="V3" s="3" t="str">
        <f>AVERAGE(V5,V7,V9,V11,V13,V15,V17,V19,V21,V23)</f>
      </c>
      <c r="W3" s="3" t="str">
        <f>AVERAGE(W5,W7,W9,W11,W13,W15,W17,W19,W21,W23)</f>
      </c>
      <c r="X3" s="3" t="str">
        <f>AVERAGE(X5,X7,X9,X11,X13,X15,X17,X19,X21,X23)</f>
      </c>
      <c r="Y3" s="3" t="str">
        <f>AVERAGE(Y5,Y7,Y9,Y11,Y13,Y15,Y17,Y19,Y21,Y23)</f>
      </c>
      <c r="Z3" s="3" t="str">
        <f>IFERROR(SUM(Y5,Y7,Y9,Y11,Y13,Y15,Y17,Y19,Y21,Y23)/SUM(X5,X7,X9,X11,X13,X15,X17,X19,X21,X23)*100,0)</f>
      </c>
      <c r="AA3" s="3" t="str">
        <f>AVERAGE(AA5,AA7,AA9,AA11,AA13,AA15,AA17,AA19,AA21,AA23)</f>
      </c>
      <c r="AB3" s="3" t="str">
        <f>AVERAGE(AB5,AB7,AB9,AB11,AB13,AB15,AB17,AB19,AB21,AB23)</f>
      </c>
      <c r="AC3" s="3" t="str">
        <f>IFERROR(SUM(AB5,AB7,AB9,AB11,AB13,AB15,AB17,AB19,AB21,AB23)/SUM(AA5,AA7,AA9,AA11,AA13,AA15,AA17,AA19,AA21,AA23)*100,0)</f>
      </c>
      <c r="AD3" s="3" t="str">
        <f>AVERAGE(AD5,AD7,AD9,AD11,AD13,AD15,AD17,AD19,AD21,AD23)</f>
      </c>
      <c r="AE3" s="3" t="str">
        <f>AVERAGE(AE5,AE7,AE9,AE11,AE13,AE15,AE17,AE19,AE21,AE23)</f>
      </c>
      <c r="AF3" s="3" t="str">
        <f>IFERROR(SUM(AE5,AE7,AE9,AE11,AE13,AE15,AE17,AE19,AE21,AE23)/SUM(AD5,AD7,AD9,AD11,AD13,AD15,AD17,AD19,AD21,AD23)*100,0)</f>
      </c>
      <c r="AG3" s="3" t="str">
        <f>AVERAGE(AG5,AG7,AG9,AG11,AG13,AG15,AG17,AG19,AG21,AG23)</f>
      </c>
      <c r="AH3" s="3" t="str">
        <f>AVERAGE(AH5,AH7,AH9,AH11,AH13,AH15,AH17,AH19,AH21,AH23)</f>
      </c>
      <c r="AI3" s="3" t="str">
        <f>IFERROR(SUM(AH5,AH7,AH9,AH11,AH13,AH15,AH17,AH19,AH21,AH23)/SUM(AG5,AG7,AG9,AG11,AG13,AG15,AG17,AG19,AG21,AG23)*100,0)</f>
      </c>
      <c r="AJ3" s="3" t="str">
        <f>AVERAGE(AJ5,AJ7,AJ9,AJ11,AJ13,AJ15,AJ17,AJ19,AJ21,AJ23)</f>
      </c>
      <c r="AK3" s="3" t="str">
        <f>AVERAGE(AK5,AK7,AK9,AK11,AK13,AK15,AK17,AK19,AK21,AK23)</f>
      </c>
      <c r="AL3" s="3" t="str">
        <f>IFERROR(SUM(AK5,AK7,AK9,AK11,AK13,AK15,AK17,AK19,AK21,AK23)/SUM(AJ5,AJ7,AJ9,AJ11,AJ13,AJ15,AJ17,AJ19,AJ21,AJ23)*100,0)</f>
      </c>
      <c r="AM3" s="3" t="str">
        <f>AVERAGE(AM5,AM7,AM9,AM11,AM13,AM15,AM17,AM19,AM21,AM23)</f>
      </c>
      <c r="AN3" s="3" t="str">
        <f>AVERAGE(AN5,AN7,AN9,AN11,AN13,AN15,AN17,AN19,AN21,AN23)</f>
      </c>
      <c r="AO3" s="3" t="str">
        <f>IFERROR(SUM(AN5,AN7,AN9,AN11,AN13,AN15,AN17,AN19,AN21,AN23)/SUM(AM5,AM7,AM9,AM11,AM13,AM15,AM17,AM19,AM21,AM23)*100,0)</f>
      </c>
      <c r="AP3" s="3" t="str">
        <f>AVERAGE(AP5,AP7,AP9,AP11,AP13,AP15,AP17,AP19,AP21,AP23)</f>
      </c>
      <c r="AQ3" s="3" t="str">
        <f>AVERAGE(AQ5,AQ7,AQ9,AQ11,AQ13,AQ15,AQ17,AQ19,AQ21,AQ23)</f>
      </c>
      <c r="AR3" s="3" t="str">
        <f>AVERAGE(AR5,AR7,AR9,AR11,AR13,AR15,AR17,AR19,AR21,AR23)</f>
      </c>
      <c r="AS3" s="3" t="str">
        <f>AVERAGE(AS5,AS7,AS9,AS11,AS13,AS15,AS17,AS19,AS21,AS23)</f>
      </c>
      <c r="AT3" s="3" t="str">
        <f>AVERAGE(AT5,AT7,AT9,AT11,AT13,AT15,AT17,AT19,AT21,AT23)</f>
      </c>
      <c r="AU3" s="3" t="str">
        <f>IFERROR(SUM(AT5,AT7,AT9,AT11,AT13,AT15,AT17,AT19,AT21,AT23)/SUM(AS5,AS7,AS9,AS11,AS13,AS15,AS17,AS19,AS21,AS23)*100,0)</f>
      </c>
      <c r="AV3" s="3" t="str">
        <f>AVERAGE(AV5,AV7,AV9,AV11,AV13,AV15,AV17,AV19,AV21,AV23)</f>
      </c>
      <c r="AW3" s="3" t="str">
        <f>AVERAGE(AW5,AW7,AW9,AW11,AW13,AW15,AW17,AW19,AW21,AW23)</f>
      </c>
      <c r="AX3" s="3" t="str">
        <f>AVERAGE(AX5,AX7,AX9,AX11,AX13,AX15,AX17,AX19,AX21,AX23)</f>
      </c>
      <c r="AY3" s="3" t="str">
        <f>IFERROR(SUM(AX5,AX7,AX9,AX11,AX13,AX15,AX17,AX19,AX21,AX23)/SUM(AW5,AW7,AW9,AW11,AW13,AW15,AW17,AW19,AW21,AW23)*100,0)</f>
      </c>
      <c r="AZ3" s="3" t="str">
        <f>AVERAGE(AZ5,AZ7,AZ9,AZ11,AZ13,AZ15,AZ17,AZ19,AZ21,AZ23)</f>
      </c>
      <c r="BA3" s="3" t="str">
        <f>AVERAGE(BA5,BA7,BA9,BA11,BA13,BA15,BA17,BA19,BA21,BA23)</f>
      </c>
      <c r="BB3" s="3" t="str">
        <f>IFERROR(SUM(BA5,BA7,BA9,BA11,BA13,BA15,BA17,BA19,BA21,BA23)/SUM(AZ5,AZ7,AZ9,AZ11,AZ13,AZ15,AZ17,AZ19,AZ21,AZ23)*100,0)</f>
      </c>
      <c r="BC3" s="3" t="str">
        <f>AVERAGE(BC5,BC7,BC9,BC11,BC13,BC15,BC17,BC19,BC21,BC23)</f>
      </c>
      <c r="BD3" s="3" t="str">
        <f>AVERAGE(BD5,BD7,BD9,BD11,BD13,BD15,BD17,BD19,BD21,BD23)</f>
      </c>
      <c r="BE3" s="3" t="str">
        <f>IFERROR(SUM(BD5,BD7,BD9,BD11,BD13,BD15,BD17,BD19,BD21,BD23)/SUM(BC5,BC7,BC9,BC11,BC13,BC15,BC17,BC19,BC21,BC23)*100,0)</f>
      </c>
      <c r="BF3" s="3" t="str">
        <f>AVERAGE(BF5,BF7,BF9,BF11,BF13,BF15,BF17,BF19,BF21,BF23)</f>
      </c>
      <c r="BG3" s="3" t="str">
        <f>AVERAGE(BG5,BG7,BG9,BG11,BG13,BG15,BG17,BG19,BG21,BG23)</f>
      </c>
      <c r="BH3" s="3" t="str">
        <f>IFERROR(SUM(BG5,BG7,BG9,BG11,BG13,BG15,BG17,BG19,BG21,BG23)/SUM(BF5,BF7,BF9,BF11,BF13,BF15,BF17,BF19,BF21,BF23)*100,0)</f>
      </c>
      <c r="BI3" s="3" t="str">
        <f>AVERAGE(BI5,BI7,BI9,BI11,BI13,BI15,BI17,BI19,BI21,BI23)</f>
      </c>
      <c r="BJ3" s="3" t="str">
        <f>AVERAGE(BJ5,BJ7,BJ9,BJ11,BJ13,BJ15,BJ17,BJ19,BJ21,BJ23)</f>
      </c>
      <c r="BK3" s="3" t="str">
        <f>AVERAGE(BK5,BK7,BK9,BK11,BK13,BK15,BK17,BK19,BK21,BK23)</f>
      </c>
      <c r="BL3" s="3" t="str">
        <f>AVERAGE(BL5,BL7,BL9,BL11,BL13,BL15,BL17,BL19,BL21,BL23)</f>
      </c>
      <c r="BM3" s="3" t="str">
        <f>AVERAGE(BM5,BM7,BM9,BM11,BM13,BM15,BM17,BM19,BM21,BM23)</f>
      </c>
      <c r="BN3" s="3" t="str">
        <f>AVERAGE(BN5,BN7,BN9,BN11,BN13,BN15,BN17,BN19,BN21,BN23)</f>
      </c>
      <c r="BO3" s="3" t="str">
        <f>AVERAGE(BO5,BO7,BO9,BO11,BO13,BO15,BO17,BO19,BO21,BO23)</f>
      </c>
      <c r="BP3" s="3" t="str">
        <f>IFERROR(SUM(BO5,BO7,BO9,BO11,BO13,BO15,BO17,BO19,BO21,BO23)/SUM(BN5,BN7,BN9,BN11,BN13,BN15,BN17,BN19,BN21,BN23)*100,0)</f>
      </c>
      <c r="BQ3" s="3" t="str">
        <f>AVERAGE(BQ5,BQ7,BQ9,BQ11,BQ13,BQ15,BQ17,BQ19,BQ21,BQ23)</f>
      </c>
      <c r="BR3" s="3" t="str">
        <f>AVERAGE(BR5,BR7,BR9,BR11,BR13,BR15,BR17,BR19,BR21,BR23)</f>
      </c>
      <c r="BS3" s="3" t="str">
        <f>IFERROR(SUM(BR5,BR7,BR9,BR11,BR13,BR15,BR17,BR19,BR21,BR23)/SUM(BQ5,BQ7,BQ9,BQ11,BQ13,BQ15,BQ17,BQ19,BQ21,BQ23)*100,0)</f>
      </c>
      <c r="BT3" s="3" t="str">
        <f>AVERAGE(BT5,BT7,BT9,BT11,BT13,BT15,BT17,BT19,BT21,BT23)</f>
      </c>
      <c r="BU3" s="3" t="str">
        <f>AVERAGE(BU5,BU7,BU9,BU11,BU13,BU15,BU17,BU19,BU21,BU23)</f>
      </c>
      <c r="BV3" s="3" t="str">
        <f>IFERROR(SUM(BU5,BU7,BU9,BU11,BU13,BU15,BU17,BU19,BU21,BU23)/SUM(BT5,BT7,BT9,BT11,BT13,BT15,BT17,BT19,BT21,BT23)*100,0)</f>
      </c>
      <c r="BW3" s="3" t="str">
        <f>AVERAGE(BW5,BW7,BW9,BW11,BW13,BW15,BW17,BW19,BW21,BW23)</f>
      </c>
      <c r="BX3" s="3" t="str">
        <f>AVERAGE(BX5,BX7,BX9,BX11,BX13,BX15,BX17,BX19,BX21,BX23)</f>
      </c>
      <c r="BY3" s="3" t="str">
        <f>IFERROR(SUM(BX5,BX7,BX9,BX11,BX13,BX15,BX17,BX19,BX21,BX23)/SUM(BW5,BW7,BW9,BW11,BW13,BW15,BW17,BW19,BW21,BW23)*100,0)</f>
      </c>
      <c r="BZ3" s="3" t="str">
        <f>AVERAGE(BZ5,BZ7,BZ9,BZ11,BZ13,BZ15,BZ17,BZ19,BZ21,BZ23)</f>
      </c>
      <c r="CA3" s="3" t="str">
        <f>AVERAGE(CA5,CA7,CA9,CA11,CA13,CA15,CA17,CA19,CA21,CA23)</f>
      </c>
      <c r="CB3" s="3" t="str">
        <f>IFERROR(SUM(CA5,CA7,CA9,CA11,CA13,CA15,CA17,CA19,CA21,CA23)/SUM(BZ5,BZ7,BZ9,BZ11,BZ13,BZ15,BZ17,BZ19,BZ21,BZ23)*100,0)</f>
      </c>
      <c r="CC3" s="3" t="str">
        <f>AVERAGE(CC5,CC7,CC9,CC11,CC13,CC15,CC17,CC19,CC21,CC23)</f>
      </c>
    </row>
    <row ht="12" customHeight="true" r="4">
      <c r="A4" s="0" t="inlineStr">
        <is>
          <t>2026-05-31</t>
        </is>
      </c>
      <c r="B4" s="0" t="inlineStr">
        <is>
          <t>Perth - Sorrento 3:0</t>
        </is>
      </c>
      <c r="C4" s="0" t="inlineStr">
        <is>
          <t>Australia. Western Australia NPL Women</t>
        </is>
      </c>
      <c r="D4" s="0" t="n">
        <v>94</v>
      </c>
      <c r="E4" s="0" t="inlineStr">
        <is>
          <t>Perth</t>
        </is>
      </c>
      <c r="F4" s="0" t="inlineStr">
        <is>
          <t>4-4-2 (100.0%)</t>
        </is>
      </c>
      <c r="G4" s="0" t="n">
        <v>3</v>
      </c>
      <c r="H4" s="0" t="n">
        <v>4.37</v>
      </c>
      <c r="I4" s="0" t="n">
        <v>31.0</v>
      </c>
      <c r="J4" s="0" t="n">
        <v>6.0</v>
      </c>
      <c r="K4" s="0" t="n">
        <v>19.35</v>
      </c>
      <c r="L4" s="0" t="n">
        <v>559.0</v>
      </c>
      <c r="M4" s="0" t="n">
        <v>467.0</v>
      </c>
      <c r="N4" s="0" t="n">
        <v>83.54</v>
      </c>
      <c r="O4" s="0" t="n">
        <v>62.54</v>
      </c>
      <c r="P4" s="0" t="n">
        <v>108.0</v>
      </c>
      <c r="Q4" s="0" t="n">
        <v>1.0</v>
      </c>
      <c r="R4" s="0" t="n">
        <v>13.0</v>
      </c>
      <c r="S4" s="0" t="n">
        <v>94.0</v>
      </c>
      <c r="T4" s="0" t="n">
        <v>91.0</v>
      </c>
      <c r="U4" s="0" t="n">
        <v>8.0</v>
      </c>
      <c r="V4" s="0" t="n">
        <v>38.0</v>
      </c>
      <c r="W4" s="0" t="n">
        <v>45.0</v>
      </c>
      <c r="X4" s="0" t="n">
        <v>179.0</v>
      </c>
      <c r="Y4" s="0" t="n">
        <v>84.0</v>
      </c>
      <c r="Z4" s="0" t="n">
        <v>46.93</v>
      </c>
      <c r="AA4" s="0" t="n">
        <v>12.0</v>
      </c>
      <c r="AB4" s="0" t="n">
        <v>2.0</v>
      </c>
      <c r="AC4" s="0" t="n">
        <v>16.67</v>
      </c>
      <c r="AD4" s="0" t="n">
        <v>78</v>
      </c>
      <c r="AE4" s="0" t="n">
        <v>27</v>
      </c>
      <c r="AF4" s="0" t="n">
        <v>34.62</v>
      </c>
      <c r="AG4" s="0" t="n">
        <v>13</v>
      </c>
      <c r="AH4" s="0" t="n">
        <v>3</v>
      </c>
      <c r="AI4" s="0" t="n">
        <v>23.08</v>
      </c>
      <c r="AJ4" s="0" t="n">
        <v>8.0</v>
      </c>
      <c r="AK4" s="0" t="n">
        <v>3.0</v>
      </c>
      <c r="AL4" s="0" t="n">
        <v>37.5</v>
      </c>
      <c r="AM4" s="0" t="n">
        <v>29.0</v>
      </c>
      <c r="AN4" s="0" t="n">
        <v>7.0</v>
      </c>
      <c r="AO4" s="0" t="n">
        <v>24.14</v>
      </c>
      <c r="AP4" s="0" t="n">
        <v>11.0</v>
      </c>
      <c r="AQ4" s="0" t="n">
        <v>31.0</v>
      </c>
      <c r="AR4" s="0" t="n">
        <v>58.0</v>
      </c>
      <c r="AS4" s="0" t="n">
        <v>81.0</v>
      </c>
      <c r="AT4" s="0" t="n">
        <v>23.0</v>
      </c>
      <c r="AU4" s="0" t="n">
        <v>28.4</v>
      </c>
      <c r="AV4" s="0" t="n">
        <v>0.0</v>
      </c>
      <c r="AW4" s="0" t="n">
        <v>0.0</v>
      </c>
      <c r="AX4" s="0" t="n">
        <v>0.0</v>
      </c>
      <c r="AY4" s="0" t="n">
        <v>0</v>
      </c>
      <c r="AZ4" s="0" t="n">
        <v>67.0</v>
      </c>
      <c r="BA4" s="0" t="n">
        <v>47.0</v>
      </c>
      <c r="BB4" s="0" t="n">
        <v>70.15</v>
      </c>
      <c r="BC4" s="0" t="n">
        <v>7.0</v>
      </c>
      <c r="BD4" s="0" t="n">
        <v>4.0</v>
      </c>
      <c r="BE4" s="0" t="n">
        <v>57.14</v>
      </c>
      <c r="BF4" s="0" t="n">
        <v>1.0</v>
      </c>
      <c r="BG4" s="0" t="n">
        <v>0.0</v>
      </c>
      <c r="BH4" s="0" t="n">
        <v>0.0</v>
      </c>
      <c r="BI4" s="0" t="n">
        <v>23.0</v>
      </c>
      <c r="BJ4" s="0" t="n">
        <v>2.0</v>
      </c>
      <c r="BK4" s="0" t="n">
        <v>13.0</v>
      </c>
      <c r="BL4" s="0" t="n">
        <v>0.0</v>
      </c>
      <c r="BM4" s="0" t="n">
        <v>0.0</v>
      </c>
      <c r="BN4" s="0" t="n">
        <v>187.0</v>
      </c>
      <c r="BO4" s="0" t="n">
        <v>148.0</v>
      </c>
      <c r="BP4" s="0" t="n">
        <v>79.14</v>
      </c>
      <c r="BQ4" s="0" t="n">
        <v>40.0</v>
      </c>
      <c r="BR4" s="0" t="n">
        <v>26.0</v>
      </c>
      <c r="BS4" s="0" t="n">
        <v>65.0</v>
      </c>
      <c r="BT4" s="0" t="n">
        <v>95.0</v>
      </c>
      <c r="BU4" s="0" t="n">
        <v>74.0</v>
      </c>
      <c r="BV4" s="0" t="n">
        <v>77.89</v>
      </c>
      <c r="BW4" s="0" t="n">
        <v>110.0</v>
      </c>
      <c r="BX4" s="0" t="n">
        <v>101.0</v>
      </c>
      <c r="BY4" s="0" t="n">
        <v>91.82</v>
      </c>
      <c r="BZ4" s="0" t="n">
        <v>31.0</v>
      </c>
      <c r="CA4" s="0" t="n">
        <v>29.0</v>
      </c>
      <c r="CB4" s="0" t="n">
        <v>93.55</v>
      </c>
      <c r="CC4" s="0" t="n">
        <v>5.51</v>
      </c>
    </row>
    <row ht="12" customHeight="true" r="5">
      <c r="A5" s="0" t="inlineStr">
        <is>
          <t>2026-05-31</t>
        </is>
      </c>
      <c r="B5" s="0" t="inlineStr">
        <is>
          <t>Perth - Sorrento 3:0</t>
        </is>
      </c>
      <c r="C5" s="0" t="inlineStr">
        <is>
          <t>Australia. Western Australia NPL Women</t>
        </is>
      </c>
      <c r="D5" s="0" t="n">
        <v>94</v>
      </c>
      <c r="E5" s="0" t="inlineStr">
        <is>
          <t>Sorrento</t>
        </is>
      </c>
      <c r="F5" s="0" t="inlineStr">
        <is>
          <t>4-5-1 (100.0%)</t>
        </is>
      </c>
      <c r="G5" s="0" t="n">
        <v>0</v>
      </c>
      <c r="H5" s="0" t="n">
        <v>0.0</v>
      </c>
      <c r="I5" s="0" t="n">
        <v>0.0</v>
      </c>
      <c r="J5" s="0" t="n">
        <v>0.0</v>
      </c>
      <c r="K5" s="0" t="n">
        <v>0</v>
      </c>
      <c r="L5" s="0" t="n">
        <v>284.0</v>
      </c>
      <c r="M5" s="0" t="n">
        <v>178.0</v>
      </c>
      <c r="N5" s="0" t="n">
        <v>62.68</v>
      </c>
      <c r="O5" s="0" t="n">
        <v>37.46</v>
      </c>
      <c r="P5" s="0" t="n">
        <v>140.0</v>
      </c>
      <c r="Q5" s="0" t="n">
        <v>63.0</v>
      </c>
      <c r="R5" s="0" t="n">
        <v>61.0</v>
      </c>
      <c r="S5" s="0" t="n">
        <v>16.0</v>
      </c>
      <c r="T5" s="0" t="n">
        <v>75.0</v>
      </c>
      <c r="U5" s="0" t="n">
        <v>68.0</v>
      </c>
      <c r="V5" s="0" t="n">
        <v>6.0</v>
      </c>
      <c r="W5" s="0" t="n">
        <v>1.0</v>
      </c>
      <c r="X5" s="0" t="n">
        <v>179.0</v>
      </c>
      <c r="Y5" s="0" t="n">
        <v>93.0</v>
      </c>
      <c r="Z5" s="0" t="n">
        <v>51.96</v>
      </c>
      <c r="AA5" s="0" t="n">
        <v>0.0</v>
      </c>
      <c r="AB5" s="0" t="n">
        <v>0.0</v>
      </c>
      <c r="AC5" s="0" t="n">
        <v>0</v>
      </c>
      <c r="AD5" s="0" t="n">
        <v>2</v>
      </c>
      <c r="AE5" s="0" t="n">
        <v>0</v>
      </c>
      <c r="AF5" s="0" t="n">
        <v>0.0</v>
      </c>
      <c r="AG5" s="0" t="n">
        <v>42</v>
      </c>
      <c r="AH5" s="0" t="n">
        <v>0</v>
      </c>
      <c r="AI5" s="0" t="n">
        <v>0.0</v>
      </c>
      <c r="AJ5" s="0" t="n">
        <v>0.0</v>
      </c>
      <c r="AK5" s="0" t="n">
        <v>0.0</v>
      </c>
      <c r="AL5" s="0" t="n">
        <v>0</v>
      </c>
      <c r="AM5" s="0" t="n">
        <v>1.0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1.0</v>
      </c>
      <c r="AS5" s="0" t="n">
        <v>67.0</v>
      </c>
      <c r="AT5" s="0" t="n">
        <v>20.0</v>
      </c>
      <c r="AU5" s="0" t="n">
        <v>29.85</v>
      </c>
      <c r="AV5" s="0" t="n">
        <v>3.0</v>
      </c>
      <c r="AW5" s="0" t="n">
        <v>31.0</v>
      </c>
      <c r="AX5" s="0" t="n">
        <v>9.0</v>
      </c>
      <c r="AY5" s="0" t="n">
        <v>29.03</v>
      </c>
      <c r="AZ5" s="0" t="n">
        <v>81.0</v>
      </c>
      <c r="BA5" s="0" t="n">
        <v>58.0</v>
      </c>
      <c r="BB5" s="0" t="n">
        <v>71.6</v>
      </c>
      <c r="BC5" s="0" t="n">
        <v>7.0</v>
      </c>
      <c r="BD5" s="0" t="n">
        <v>2.0</v>
      </c>
      <c r="BE5" s="0" t="n">
        <v>28.57</v>
      </c>
      <c r="BF5" s="0" t="n">
        <v>2.0</v>
      </c>
      <c r="BG5" s="0" t="n">
        <v>0.0</v>
      </c>
      <c r="BH5" s="0" t="n">
        <v>0.0</v>
      </c>
      <c r="BI5" s="0" t="n">
        <v>49.0</v>
      </c>
      <c r="BJ5" s="0" t="n">
        <v>12.0</v>
      </c>
      <c r="BK5" s="0" t="n">
        <v>4.0</v>
      </c>
      <c r="BL5" s="0" t="n">
        <v>0.0</v>
      </c>
      <c r="BM5" s="0" t="n">
        <v>0.0</v>
      </c>
      <c r="BN5" s="0" t="n">
        <v>114.0</v>
      </c>
      <c r="BO5" s="0" t="n">
        <v>50.0</v>
      </c>
      <c r="BP5" s="0" t="n">
        <v>43.86</v>
      </c>
      <c r="BQ5" s="0" t="n">
        <v>48.0</v>
      </c>
      <c r="BR5" s="0" t="n">
        <v>11.0</v>
      </c>
      <c r="BS5" s="0" t="n">
        <v>22.92</v>
      </c>
      <c r="BT5" s="0" t="n">
        <v>15.0</v>
      </c>
      <c r="BU5" s="0" t="n">
        <v>6.0</v>
      </c>
      <c r="BV5" s="0" t="n">
        <v>40.0</v>
      </c>
      <c r="BW5" s="0" t="n">
        <v>80.0</v>
      </c>
      <c r="BX5" s="0" t="n">
        <v>11.0</v>
      </c>
      <c r="BY5" s="0" t="n">
        <v>13.75</v>
      </c>
      <c r="BZ5" s="0" t="n">
        <v>17.0</v>
      </c>
      <c r="CA5" s="0" t="n">
        <v>7.0</v>
      </c>
      <c r="CB5" s="0" t="n">
        <v>41.18</v>
      </c>
      <c r="CC5" s="0" t="n">
        <v>122.5</v>
      </c>
    </row>
    <row ht="12" customHeight="true" r="6">
      <c r="A6" s="0" t="inlineStr">
        <is>
          <t>2026-05-24</t>
        </is>
      </c>
      <c r="B6" s="0" t="inlineStr">
        <is>
          <t>Subiaco - Perth 0:5</t>
        </is>
      </c>
      <c r="C6" s="0" t="inlineStr">
        <is>
          <t>Australia. Western Australia NPL Women</t>
        </is>
      </c>
      <c r="D6" s="0" t="n">
        <v>95</v>
      </c>
      <c r="E6" s="0" t="inlineStr">
        <is>
          <t>Perth</t>
        </is>
      </c>
      <c r="F6" s="0" t="inlineStr">
        <is>
          <t>4-2-3-1 (100.0%)</t>
        </is>
      </c>
      <c r="G6" s="0" t="n">
        <v>5</v>
      </c>
      <c r="H6" s="0" t="n">
        <v>2.25</v>
      </c>
      <c r="I6" s="0" t="n">
        <v>16.0</v>
      </c>
      <c r="J6" s="0" t="n">
        <v>13.0</v>
      </c>
      <c r="K6" s="0" t="n">
        <v>81.25</v>
      </c>
      <c r="L6" s="0" t="n">
        <v>376.0</v>
      </c>
      <c r="M6" s="0" t="n">
        <v>265.0</v>
      </c>
      <c r="N6" s="0" t="n">
        <v>70.48</v>
      </c>
      <c r="O6" s="0" t="n">
        <v>55.9</v>
      </c>
      <c r="P6" s="0" t="n">
        <v>137.0</v>
      </c>
      <c r="Q6" s="0" t="n">
        <v>20.0</v>
      </c>
      <c r="R6" s="0" t="n">
        <v>48.0</v>
      </c>
      <c r="S6" s="0" t="n">
        <v>69.0</v>
      </c>
      <c r="T6" s="0" t="n">
        <v>105.0</v>
      </c>
      <c r="U6" s="0" t="n">
        <v>39.0</v>
      </c>
      <c r="V6" s="0" t="n">
        <v>44.0</v>
      </c>
      <c r="W6" s="0" t="n">
        <v>22.0</v>
      </c>
      <c r="X6" s="0" t="n">
        <v>242.0</v>
      </c>
      <c r="Y6" s="0" t="n">
        <v>126.0</v>
      </c>
      <c r="Z6" s="0" t="n">
        <v>52.07</v>
      </c>
      <c r="AA6" s="0" t="n">
        <v>6.0</v>
      </c>
      <c r="AB6" s="0" t="n">
        <v>5.0</v>
      </c>
      <c r="AC6" s="0" t="n">
        <v>83.33</v>
      </c>
      <c r="AD6" s="0" t="n">
        <v>46</v>
      </c>
      <c r="AE6" s="0" t="n">
        <v>11</v>
      </c>
      <c r="AF6" s="0" t="n">
        <v>23.91</v>
      </c>
      <c r="AG6" s="0" t="n">
        <v>17</v>
      </c>
      <c r="AH6" s="0" t="n">
        <v>5</v>
      </c>
      <c r="AI6" s="0" t="n">
        <v>29.41</v>
      </c>
      <c r="AJ6" s="0" t="n">
        <v>5.0</v>
      </c>
      <c r="AK6" s="0" t="n">
        <v>3.0</v>
      </c>
      <c r="AL6" s="0" t="n">
        <v>60.0</v>
      </c>
      <c r="AM6" s="0" t="n">
        <v>14.0</v>
      </c>
      <c r="AN6" s="0" t="n">
        <v>2.0</v>
      </c>
      <c r="AO6" s="0" t="n">
        <v>14.29</v>
      </c>
      <c r="AP6" s="0" t="n">
        <v>2.0</v>
      </c>
      <c r="AQ6" s="0" t="n">
        <v>7.0</v>
      </c>
      <c r="AR6" s="0" t="n">
        <v>28.0</v>
      </c>
      <c r="AS6" s="0" t="n">
        <v>99.0</v>
      </c>
      <c r="AT6" s="0" t="n">
        <v>37.0</v>
      </c>
      <c r="AU6" s="0" t="n">
        <v>37.37</v>
      </c>
      <c r="AV6" s="0" t="n">
        <v>0.0</v>
      </c>
      <c r="AW6" s="0" t="n">
        <v>5.0</v>
      </c>
      <c r="AX6" s="0" t="n">
        <v>1.0</v>
      </c>
      <c r="AY6" s="0" t="n">
        <v>20.0</v>
      </c>
      <c r="AZ6" s="0" t="n">
        <v>86.0</v>
      </c>
      <c r="BA6" s="0" t="n">
        <v>65.0</v>
      </c>
      <c r="BB6" s="0" t="n">
        <v>75.58</v>
      </c>
      <c r="BC6" s="0" t="n">
        <v>25.0</v>
      </c>
      <c r="BD6" s="0" t="n">
        <v>12.0</v>
      </c>
      <c r="BE6" s="0" t="n">
        <v>48.0</v>
      </c>
      <c r="BF6" s="0" t="n">
        <v>3.0</v>
      </c>
      <c r="BG6" s="0" t="n">
        <v>0.0</v>
      </c>
      <c r="BH6" s="0" t="n">
        <v>0.0</v>
      </c>
      <c r="BI6" s="0" t="n">
        <v>67.0</v>
      </c>
      <c r="BJ6" s="0" t="n">
        <v>17.0</v>
      </c>
      <c r="BK6" s="0" t="n">
        <v>10.0</v>
      </c>
      <c r="BL6" s="0" t="n">
        <v>2.0</v>
      </c>
      <c r="BM6" s="0" t="n">
        <v>0.0</v>
      </c>
      <c r="BN6" s="0" t="n">
        <v>160.0</v>
      </c>
      <c r="BO6" s="0" t="n">
        <v>106.0</v>
      </c>
      <c r="BP6" s="0" t="n">
        <v>66.25</v>
      </c>
      <c r="BQ6" s="0" t="n">
        <v>67.0</v>
      </c>
      <c r="BR6" s="0" t="n">
        <v>37.0</v>
      </c>
      <c r="BS6" s="0" t="n">
        <v>55.22</v>
      </c>
      <c r="BT6" s="0" t="n">
        <v>60.0</v>
      </c>
      <c r="BU6" s="0" t="n">
        <v>36.0</v>
      </c>
      <c r="BV6" s="0" t="n">
        <v>60.0</v>
      </c>
      <c r="BW6" s="0" t="n">
        <v>82.0</v>
      </c>
      <c r="BX6" s="0" t="n">
        <v>49.0</v>
      </c>
      <c r="BY6" s="0" t="n">
        <v>59.76</v>
      </c>
      <c r="BZ6" s="0" t="n">
        <v>34.0</v>
      </c>
      <c r="CA6" s="0" t="n">
        <v>29.0</v>
      </c>
      <c r="CB6" s="0" t="n">
        <v>85.29</v>
      </c>
      <c r="CC6" s="0" t="n">
        <v>4.92</v>
      </c>
    </row>
    <row ht="12" customHeight="true" r="7">
      <c r="A7" s="0" t="inlineStr">
        <is>
          <t>2026-05-24</t>
        </is>
      </c>
      <c r="B7" s="0" t="inlineStr">
        <is>
          <t>Subiaco - Perth 0:5</t>
        </is>
      </c>
      <c r="C7" s="0" t="inlineStr">
        <is>
          <t>Australia. Western Australia NPL Women</t>
        </is>
      </c>
      <c r="D7" s="0" t="n">
        <v>95</v>
      </c>
      <c r="E7" s="0" t="inlineStr">
        <is>
          <t>Subiaco</t>
        </is>
      </c>
      <c r="F7" s="0" t="inlineStr">
        <is>
          <t>4-3-3 (100.0%)</t>
        </is>
      </c>
      <c r="G7" s="0" t="n">
        <v>0</v>
      </c>
      <c r="H7" s="0" t="n">
        <v>0.13</v>
      </c>
      <c r="I7" s="0" t="n">
        <v>5.0</v>
      </c>
      <c r="J7" s="0" t="n">
        <v>1.0</v>
      </c>
      <c r="K7" s="0" t="n">
        <v>20.0</v>
      </c>
      <c r="L7" s="0" t="n">
        <v>328.0</v>
      </c>
      <c r="M7" s="0" t="n">
        <v>215.0</v>
      </c>
      <c r="N7" s="0" t="n">
        <v>65.55</v>
      </c>
      <c r="O7" s="0" t="n">
        <v>44.1</v>
      </c>
      <c r="P7" s="0" t="n">
        <v>164.0</v>
      </c>
      <c r="Q7" s="0" t="n">
        <v>39.0</v>
      </c>
      <c r="R7" s="0" t="n">
        <v>58.0</v>
      </c>
      <c r="S7" s="0" t="n">
        <v>67.0</v>
      </c>
      <c r="T7" s="0" t="n">
        <v>89.0</v>
      </c>
      <c r="U7" s="0" t="n">
        <v>41.0</v>
      </c>
      <c r="V7" s="0" t="n">
        <v>36.0</v>
      </c>
      <c r="W7" s="0" t="n">
        <v>12.0</v>
      </c>
      <c r="X7" s="0" t="n">
        <v>242.0</v>
      </c>
      <c r="Y7" s="0" t="n">
        <v>107.0</v>
      </c>
      <c r="Z7" s="0" t="n">
        <v>44.21</v>
      </c>
      <c r="AA7" s="0" t="n">
        <v>4.0</v>
      </c>
      <c r="AB7" s="0" t="n">
        <v>1.0</v>
      </c>
      <c r="AC7" s="0" t="n">
        <v>25.0</v>
      </c>
      <c r="AD7" s="0" t="n">
        <v>29</v>
      </c>
      <c r="AE7" s="0" t="n">
        <v>4</v>
      </c>
      <c r="AF7" s="0" t="n">
        <v>13.79</v>
      </c>
      <c r="AG7" s="0" t="n">
        <v>24</v>
      </c>
      <c r="AH7" s="0" t="n">
        <v>1</v>
      </c>
      <c r="AI7" s="0" t="n">
        <v>4.17</v>
      </c>
      <c r="AJ7" s="0" t="n">
        <v>5.0</v>
      </c>
      <c r="AK7" s="0" t="n">
        <v>1.0</v>
      </c>
      <c r="AL7" s="0" t="n">
        <v>20.0</v>
      </c>
      <c r="AM7" s="0" t="n">
        <v>8.0</v>
      </c>
      <c r="AN7" s="0" t="n">
        <v>1.0</v>
      </c>
      <c r="AO7" s="0" t="n">
        <v>12.5</v>
      </c>
      <c r="AP7" s="0" t="n">
        <v>1.0</v>
      </c>
      <c r="AQ7" s="0" t="n">
        <v>3.0</v>
      </c>
      <c r="AR7" s="0" t="n">
        <v>7.0</v>
      </c>
      <c r="AS7" s="0" t="n">
        <v>86.0</v>
      </c>
      <c r="AT7" s="0" t="n">
        <v>21.0</v>
      </c>
      <c r="AU7" s="0" t="n">
        <v>24.42</v>
      </c>
      <c r="AV7" s="0" t="n">
        <v>5.0</v>
      </c>
      <c r="AW7" s="0" t="n">
        <v>16.0</v>
      </c>
      <c r="AX7" s="0" t="n">
        <v>14.0</v>
      </c>
      <c r="AY7" s="0" t="n">
        <v>87.5</v>
      </c>
      <c r="AZ7" s="0" t="n">
        <v>99.0</v>
      </c>
      <c r="BA7" s="0" t="n">
        <v>62.0</v>
      </c>
      <c r="BB7" s="0" t="n">
        <v>62.63</v>
      </c>
      <c r="BC7" s="0" t="n">
        <v>25.0</v>
      </c>
      <c r="BD7" s="0" t="n">
        <v>9.0</v>
      </c>
      <c r="BE7" s="0" t="n">
        <v>36.0</v>
      </c>
      <c r="BF7" s="0" t="n">
        <v>3.0</v>
      </c>
      <c r="BG7" s="0" t="n">
        <v>2.0</v>
      </c>
      <c r="BH7" s="0" t="n">
        <v>66.67</v>
      </c>
      <c r="BI7" s="0" t="n">
        <v>36.0</v>
      </c>
      <c r="BJ7" s="0" t="n">
        <v>20.0</v>
      </c>
      <c r="BK7" s="0" t="n">
        <v>8.0</v>
      </c>
      <c r="BL7" s="0" t="n">
        <v>2.0</v>
      </c>
      <c r="BM7" s="0" t="n">
        <v>0.0</v>
      </c>
      <c r="BN7" s="0" t="n">
        <v>144.0</v>
      </c>
      <c r="BO7" s="0" t="n">
        <v>73.0</v>
      </c>
      <c r="BP7" s="0" t="n">
        <v>50.69</v>
      </c>
      <c r="BQ7" s="0" t="n">
        <v>79.0</v>
      </c>
      <c r="BR7" s="0" t="n">
        <v>37.0</v>
      </c>
      <c r="BS7" s="0" t="n">
        <v>46.84</v>
      </c>
      <c r="BT7" s="0" t="n">
        <v>42.0</v>
      </c>
      <c r="BU7" s="0" t="n">
        <v>23.0</v>
      </c>
      <c r="BV7" s="0" t="n">
        <v>54.76</v>
      </c>
      <c r="BW7" s="0" t="n">
        <v>81.0</v>
      </c>
      <c r="BX7" s="0" t="n">
        <v>36.0</v>
      </c>
      <c r="BY7" s="0" t="n">
        <v>44.44</v>
      </c>
      <c r="BZ7" s="0" t="n">
        <v>35.0</v>
      </c>
      <c r="CA7" s="0" t="n">
        <v>24.0</v>
      </c>
      <c r="CB7" s="0" t="n">
        <v>68.57</v>
      </c>
      <c r="CC7" s="0" t="n">
        <v>8.96</v>
      </c>
    </row>
    <row ht="12" customHeight="true" r="8">
      <c r="A8" s="0" t="inlineStr">
        <is>
          <t>2026-05-16</t>
        </is>
      </c>
      <c r="B8" s="0" t="inlineStr">
        <is>
          <t>West NTC - Perth 0:1</t>
        </is>
      </c>
      <c r="C8" s="0" t="inlineStr">
        <is>
          <t>Australia. Western Australia NPL Women</t>
        </is>
      </c>
      <c r="D8" s="0" t="n">
        <v>93</v>
      </c>
      <c r="E8" s="0" t="inlineStr">
        <is>
          <t>Perth</t>
        </is>
      </c>
      <c r="F8" s="0" t="inlineStr">
        <is>
          <t>4-1-4-1 (100.0%)</t>
        </is>
      </c>
      <c r="G8" s="0" t="n">
        <v>1</v>
      </c>
      <c r="H8" s="0" t="n">
        <v>1.0</v>
      </c>
      <c r="I8" s="0" t="n">
        <v>12.0</v>
      </c>
      <c r="J8" s="0" t="n">
        <v>6.0</v>
      </c>
      <c r="K8" s="0" t="n">
        <v>50.0</v>
      </c>
      <c r="L8" s="0" t="n">
        <v>596.0</v>
      </c>
      <c r="M8" s="0" t="n">
        <v>453.0</v>
      </c>
      <c r="N8" s="0" t="n">
        <v>76.01</v>
      </c>
      <c r="O8" s="0" t="n">
        <v>64.13</v>
      </c>
      <c r="P8" s="0" t="n">
        <v>176.0</v>
      </c>
      <c r="Q8" s="0" t="n">
        <v>25.0</v>
      </c>
      <c r="R8" s="0" t="n">
        <v>63.0</v>
      </c>
      <c r="S8" s="0" t="n">
        <v>88.0</v>
      </c>
      <c r="T8" s="0" t="n">
        <v>121.0</v>
      </c>
      <c r="U8" s="0" t="n">
        <v>32.0</v>
      </c>
      <c r="V8" s="0" t="n">
        <v>63.0</v>
      </c>
      <c r="W8" s="0" t="n">
        <v>26.0</v>
      </c>
      <c r="X8" s="0" t="n">
        <v>221.0</v>
      </c>
      <c r="Y8" s="0" t="n">
        <v>124.0</v>
      </c>
      <c r="Z8" s="0" t="n">
        <v>56.11</v>
      </c>
      <c r="AA8" s="0" t="n">
        <v>7.0</v>
      </c>
      <c r="AB8" s="0" t="n">
        <v>4.0</v>
      </c>
      <c r="AC8" s="0" t="n">
        <v>57.14</v>
      </c>
      <c r="AD8" s="0" t="n">
        <v>41</v>
      </c>
      <c r="AE8" s="0" t="n">
        <v>8</v>
      </c>
      <c r="AF8" s="0" t="n">
        <v>19.51</v>
      </c>
      <c r="AG8" s="0" t="n">
        <v>15</v>
      </c>
      <c r="AH8" s="0" t="n">
        <v>3</v>
      </c>
      <c r="AI8" s="0" t="n">
        <v>20.0</v>
      </c>
      <c r="AJ8" s="0" t="n">
        <v>9.0</v>
      </c>
      <c r="AK8" s="0" t="n">
        <v>2.0</v>
      </c>
      <c r="AL8" s="0" t="n">
        <v>22.22</v>
      </c>
      <c r="AM8" s="0" t="n">
        <v>10.0</v>
      </c>
      <c r="AN8" s="0" t="n">
        <v>1.0</v>
      </c>
      <c r="AO8" s="0" t="n">
        <v>10.0</v>
      </c>
      <c r="AP8" s="0" t="n">
        <v>2.0</v>
      </c>
      <c r="AQ8" s="0" t="n">
        <v>6.0</v>
      </c>
      <c r="AR8" s="0" t="n">
        <v>12.0</v>
      </c>
      <c r="AS8" s="0" t="n">
        <v>82.0</v>
      </c>
      <c r="AT8" s="0" t="n">
        <v>25.0</v>
      </c>
      <c r="AU8" s="0" t="n">
        <v>30.49</v>
      </c>
      <c r="AV8" s="0" t="n">
        <v>0.0</v>
      </c>
      <c r="AW8" s="0" t="n">
        <v>8.0</v>
      </c>
      <c r="AX8" s="0" t="n">
        <v>6.0</v>
      </c>
      <c r="AY8" s="0" t="n">
        <v>75.0</v>
      </c>
      <c r="AZ8" s="0" t="n">
        <v>110.0</v>
      </c>
      <c r="BA8" s="0" t="n">
        <v>85.0</v>
      </c>
      <c r="BB8" s="0" t="n">
        <v>77.27</v>
      </c>
      <c r="BC8" s="0" t="n">
        <v>19.0</v>
      </c>
      <c r="BD8" s="0" t="n">
        <v>9.0</v>
      </c>
      <c r="BE8" s="0" t="n">
        <v>47.37</v>
      </c>
      <c r="BF8" s="0" t="n">
        <v>3.0</v>
      </c>
      <c r="BG8" s="0" t="n">
        <v>1.0</v>
      </c>
      <c r="BH8" s="0" t="n">
        <v>33.33</v>
      </c>
      <c r="BI8" s="0" t="n">
        <v>62.0</v>
      </c>
      <c r="BJ8" s="0" t="n">
        <v>14.0</v>
      </c>
      <c r="BK8" s="0" t="n">
        <v>7.0</v>
      </c>
      <c r="BL8" s="0" t="n">
        <v>0.0</v>
      </c>
      <c r="BM8" s="0" t="n">
        <v>0.0</v>
      </c>
      <c r="BN8" s="0" t="n">
        <v>200.0</v>
      </c>
      <c r="BO8" s="0" t="n">
        <v>123.0</v>
      </c>
      <c r="BP8" s="0" t="n">
        <v>61.5</v>
      </c>
      <c r="BQ8" s="0" t="n">
        <v>59.0</v>
      </c>
      <c r="BR8" s="0" t="n">
        <v>23.0</v>
      </c>
      <c r="BS8" s="0" t="n">
        <v>38.98</v>
      </c>
      <c r="BT8" s="0" t="n">
        <v>73.0</v>
      </c>
      <c r="BU8" s="0" t="n">
        <v>38.0</v>
      </c>
      <c r="BV8" s="0" t="n">
        <v>52.05</v>
      </c>
      <c r="BW8" s="0" t="n">
        <v>79.0</v>
      </c>
      <c r="BX8" s="0" t="n">
        <v>47.0</v>
      </c>
      <c r="BY8" s="0" t="n">
        <v>59.49</v>
      </c>
      <c r="BZ8" s="0" t="n">
        <v>44.0</v>
      </c>
      <c r="CA8" s="0" t="n">
        <v>29.0</v>
      </c>
      <c r="CB8" s="0" t="n">
        <v>65.91</v>
      </c>
      <c r="CC8" s="0" t="n">
        <v>3.74</v>
      </c>
    </row>
    <row ht="12" customHeight="true" r="9">
      <c r="A9" s="0" t="inlineStr">
        <is>
          <t>2026-05-16</t>
        </is>
      </c>
      <c r="B9" s="0" t="inlineStr">
        <is>
          <t>West NTC - Perth 0:1</t>
        </is>
      </c>
      <c r="C9" s="0" t="inlineStr">
        <is>
          <t>Australia. Western Australia NPL Women</t>
        </is>
      </c>
      <c r="D9" s="0" t="n">
        <v>93</v>
      </c>
      <c r="E9" s="0" t="inlineStr">
        <is>
          <t>West NTC</t>
        </is>
      </c>
      <c r="F9" s="0" t="inlineStr">
        <is>
          <t>4-4-2 (100.0%)</t>
        </is>
      </c>
      <c r="G9" s="0" t="n">
        <v>0</v>
      </c>
      <c r="H9" s="0" t="n">
        <v>0.38</v>
      </c>
      <c r="I9" s="0" t="n">
        <v>8.0</v>
      </c>
      <c r="J9" s="0" t="n">
        <v>4.0</v>
      </c>
      <c r="K9" s="0" t="n">
        <v>50.0</v>
      </c>
      <c r="L9" s="0" t="n">
        <v>311.0</v>
      </c>
      <c r="M9" s="0" t="n">
        <v>188.0</v>
      </c>
      <c r="N9" s="0" t="n">
        <v>60.45</v>
      </c>
      <c r="O9" s="0" t="n">
        <v>35.87</v>
      </c>
      <c r="P9" s="0" t="n">
        <v>183.0</v>
      </c>
      <c r="Q9" s="0" t="n">
        <v>34.0</v>
      </c>
      <c r="R9" s="0" t="n">
        <v>95.0</v>
      </c>
      <c r="S9" s="0" t="n">
        <v>54.0</v>
      </c>
      <c r="T9" s="0" t="n">
        <v>102.0</v>
      </c>
      <c r="U9" s="0" t="n">
        <v>50.0</v>
      </c>
      <c r="V9" s="0" t="n">
        <v>40.0</v>
      </c>
      <c r="W9" s="0" t="n">
        <v>12.0</v>
      </c>
      <c r="X9" s="0" t="n">
        <v>221.0</v>
      </c>
      <c r="Y9" s="0" t="n">
        <v>93.0</v>
      </c>
      <c r="Z9" s="0" t="n">
        <v>42.08</v>
      </c>
      <c r="AA9" s="0" t="n">
        <v>5.0</v>
      </c>
      <c r="AB9" s="0" t="n">
        <v>2.0</v>
      </c>
      <c r="AC9" s="0" t="n">
        <v>40.0</v>
      </c>
      <c r="AD9" s="0" t="n">
        <v>23</v>
      </c>
      <c r="AE9" s="0" t="n">
        <v>6</v>
      </c>
      <c r="AF9" s="0" t="n">
        <v>26.09</v>
      </c>
      <c r="AG9" s="0" t="n">
        <v>22</v>
      </c>
      <c r="AH9" s="0" t="n">
        <v>1</v>
      </c>
      <c r="AI9" s="0" t="n">
        <v>4.55</v>
      </c>
      <c r="AJ9" s="0" t="n">
        <v>3.0</v>
      </c>
      <c r="AK9" s="0" t="n">
        <v>0.0</v>
      </c>
      <c r="AL9" s="0" t="n">
        <v>0.0</v>
      </c>
      <c r="AM9" s="0" t="n">
        <v>6.0</v>
      </c>
      <c r="AN9" s="0" t="n">
        <v>1.0</v>
      </c>
      <c r="AO9" s="0" t="n">
        <v>16.67</v>
      </c>
      <c r="AP9" s="0" t="n">
        <v>1.0</v>
      </c>
      <c r="AQ9" s="0" t="n">
        <v>1.0</v>
      </c>
      <c r="AR9" s="0" t="n">
        <v>7.0</v>
      </c>
      <c r="AS9" s="0" t="n">
        <v>110.0</v>
      </c>
      <c r="AT9" s="0" t="n">
        <v>25.0</v>
      </c>
      <c r="AU9" s="0" t="n">
        <v>22.73</v>
      </c>
      <c r="AV9" s="0" t="n">
        <v>1.0</v>
      </c>
      <c r="AW9" s="0" t="n">
        <v>12.0</v>
      </c>
      <c r="AX9" s="0" t="n">
        <v>6.0</v>
      </c>
      <c r="AY9" s="0" t="n">
        <v>50.0</v>
      </c>
      <c r="AZ9" s="0" t="n">
        <v>82.0</v>
      </c>
      <c r="BA9" s="0" t="n">
        <v>57.0</v>
      </c>
      <c r="BB9" s="0" t="n">
        <v>69.51</v>
      </c>
      <c r="BC9" s="0" t="n">
        <v>19.0</v>
      </c>
      <c r="BD9" s="0" t="n">
        <v>8.0</v>
      </c>
      <c r="BE9" s="0" t="n">
        <v>42.11</v>
      </c>
      <c r="BF9" s="0" t="n">
        <v>0.0</v>
      </c>
      <c r="BG9" s="0" t="n">
        <v>0.0</v>
      </c>
      <c r="BH9" s="0" t="n">
        <v>0</v>
      </c>
      <c r="BI9" s="0" t="n">
        <v>62.0</v>
      </c>
      <c r="BJ9" s="0" t="n">
        <v>16.0</v>
      </c>
      <c r="BK9" s="0" t="n">
        <v>3.0</v>
      </c>
      <c r="BL9" s="0" t="n">
        <v>0.0</v>
      </c>
      <c r="BM9" s="0" t="n">
        <v>0.0</v>
      </c>
      <c r="BN9" s="0" t="n">
        <v>133.0</v>
      </c>
      <c r="BO9" s="0" t="n">
        <v>60.0</v>
      </c>
      <c r="BP9" s="0" t="n">
        <v>45.11</v>
      </c>
      <c r="BQ9" s="0" t="n">
        <v>49.0</v>
      </c>
      <c r="BR9" s="0" t="n">
        <v>16.0</v>
      </c>
      <c r="BS9" s="0" t="n">
        <v>32.65</v>
      </c>
      <c r="BT9" s="0" t="n">
        <v>37.0</v>
      </c>
      <c r="BU9" s="0" t="n">
        <v>16.0</v>
      </c>
      <c r="BV9" s="0" t="n">
        <v>43.24</v>
      </c>
      <c r="BW9" s="0" t="n">
        <v>74.0</v>
      </c>
      <c r="BX9" s="0" t="n">
        <v>21.0</v>
      </c>
      <c r="BY9" s="0" t="n">
        <v>28.38</v>
      </c>
      <c r="BZ9" s="0" t="n">
        <v>51.0</v>
      </c>
      <c r="CA9" s="0" t="n">
        <v>30.0</v>
      </c>
      <c r="CB9" s="0" t="n">
        <v>58.82</v>
      </c>
      <c r="CC9" s="0" t="n">
        <v>18.32</v>
      </c>
    </row>
    <row ht="12" customHeight="true" r="10">
      <c r="A10" s="0" t="inlineStr">
        <is>
          <t>2026-05-02</t>
        </is>
      </c>
      <c r="B10" s="0" t="inlineStr">
        <is>
          <t>Perth - Perth RedStar 1:1</t>
        </is>
      </c>
      <c r="C10" s="0" t="inlineStr">
        <is>
          <t>Australia. Western Australia NPL Women</t>
        </is>
      </c>
      <c r="D10" s="0" t="n">
        <v>96</v>
      </c>
      <c r="E10" s="0" t="inlineStr">
        <is>
          <t>Perth</t>
        </is>
      </c>
      <c r="F10" s="0" t="inlineStr">
        <is>
          <t>4-1-4-1 (100.0%)</t>
        </is>
      </c>
      <c r="G10" s="0" t="n">
        <v>1</v>
      </c>
      <c r="H10" s="0" t="n">
        <v>1.38</v>
      </c>
      <c r="I10" s="0" t="n">
        <v>11.0</v>
      </c>
      <c r="J10" s="0" t="n">
        <v>6.0</v>
      </c>
      <c r="K10" s="0" t="n">
        <v>54.55</v>
      </c>
      <c r="L10" s="0" t="n">
        <v>386.0</v>
      </c>
      <c r="M10" s="0" t="n">
        <v>280.0</v>
      </c>
      <c r="N10" s="0" t="n">
        <v>72.54</v>
      </c>
      <c r="O10" s="0" t="n">
        <v>45.86</v>
      </c>
      <c r="P10" s="0" t="n">
        <v>155.0</v>
      </c>
      <c r="Q10" s="0" t="n">
        <v>19.0</v>
      </c>
      <c r="R10" s="0" t="n">
        <v>60.0</v>
      </c>
      <c r="S10" s="0" t="n">
        <v>76.0</v>
      </c>
      <c r="T10" s="0" t="n">
        <v>120.0</v>
      </c>
      <c r="U10" s="0" t="n">
        <v>47.0</v>
      </c>
      <c r="V10" s="0" t="n">
        <v>63.0</v>
      </c>
      <c r="W10" s="0" t="n">
        <v>10.0</v>
      </c>
      <c r="X10" s="0" t="n">
        <v>259.0</v>
      </c>
      <c r="Y10" s="0" t="n">
        <v>141.0</v>
      </c>
      <c r="Z10" s="0" t="n">
        <v>54.44</v>
      </c>
      <c r="AA10" s="0" t="n">
        <v>4.0</v>
      </c>
      <c r="AB10" s="0" t="n">
        <v>2.0</v>
      </c>
      <c r="AC10" s="0" t="n">
        <v>50.0</v>
      </c>
      <c r="AD10" s="0" t="n">
        <v>27</v>
      </c>
      <c r="AE10" s="0" t="n">
        <v>7</v>
      </c>
      <c r="AF10" s="0" t="n">
        <v>25.93</v>
      </c>
      <c r="AG10" s="0" t="n">
        <v>19</v>
      </c>
      <c r="AH10" s="0" t="n">
        <v>3</v>
      </c>
      <c r="AI10" s="0" t="n">
        <v>15.79</v>
      </c>
      <c r="AJ10" s="0" t="n">
        <v>6.0</v>
      </c>
      <c r="AK10" s="0" t="n">
        <v>1.0</v>
      </c>
      <c r="AL10" s="0" t="n">
        <v>16.67</v>
      </c>
      <c r="AM10" s="0" t="n">
        <v>15.0</v>
      </c>
      <c r="AN10" s="0" t="n">
        <v>5.0</v>
      </c>
      <c r="AO10" s="0" t="n">
        <v>33.33</v>
      </c>
      <c r="AP10" s="0" t="n">
        <v>4.0</v>
      </c>
      <c r="AQ10" s="0" t="n">
        <v>5.0</v>
      </c>
      <c r="AR10" s="0" t="n">
        <v>18.0</v>
      </c>
      <c r="AS10" s="0" t="n">
        <v>76.0</v>
      </c>
      <c r="AT10" s="0" t="n">
        <v>18.0</v>
      </c>
      <c r="AU10" s="0" t="n">
        <v>23.68</v>
      </c>
      <c r="AV10" s="0" t="n">
        <v>1.0</v>
      </c>
      <c r="AW10" s="0" t="n">
        <v>6.0</v>
      </c>
      <c r="AX10" s="0" t="n">
        <v>1.0</v>
      </c>
      <c r="AY10" s="0" t="n">
        <v>16.67</v>
      </c>
      <c r="AZ10" s="0" t="n">
        <v>129.0</v>
      </c>
      <c r="BA10" s="0" t="n">
        <v>102.0</v>
      </c>
      <c r="BB10" s="0" t="n">
        <v>79.07</v>
      </c>
      <c r="BC10" s="0" t="n">
        <v>33.0</v>
      </c>
      <c r="BD10" s="0" t="n">
        <v>11.0</v>
      </c>
      <c r="BE10" s="0" t="n">
        <v>33.33</v>
      </c>
      <c r="BF10" s="0" t="n">
        <v>1.0</v>
      </c>
      <c r="BG10" s="0" t="n">
        <v>1.0</v>
      </c>
      <c r="BH10" s="0" t="n">
        <v>100.0</v>
      </c>
      <c r="BI10" s="0" t="n">
        <v>51.0</v>
      </c>
      <c r="BJ10" s="0" t="n">
        <v>32.0</v>
      </c>
      <c r="BK10" s="0" t="n">
        <v>8.0</v>
      </c>
      <c r="BL10" s="0" t="n">
        <v>1.0</v>
      </c>
      <c r="BM10" s="0" t="n">
        <v>0.0</v>
      </c>
      <c r="BN10" s="0" t="n">
        <v>161.0</v>
      </c>
      <c r="BO10" s="0" t="n">
        <v>105.0</v>
      </c>
      <c r="BP10" s="0" t="n">
        <v>65.22</v>
      </c>
      <c r="BQ10" s="0" t="n">
        <v>65.0</v>
      </c>
      <c r="BR10" s="0" t="n">
        <v>27.0</v>
      </c>
      <c r="BS10" s="0" t="n">
        <v>41.54</v>
      </c>
      <c r="BT10" s="0" t="n">
        <v>61.0</v>
      </c>
      <c r="BU10" s="0" t="n">
        <v>32.0</v>
      </c>
      <c r="BV10" s="0" t="n">
        <v>52.46</v>
      </c>
      <c r="BW10" s="0" t="n">
        <v>81.0</v>
      </c>
      <c r="BX10" s="0" t="n">
        <v>53.0</v>
      </c>
      <c r="BY10" s="0" t="n">
        <v>65.43</v>
      </c>
      <c r="BZ10" s="0" t="n">
        <v>26.0</v>
      </c>
      <c r="CA10" s="0" t="n">
        <v>17.0</v>
      </c>
      <c r="CB10" s="0" t="n">
        <v>65.38</v>
      </c>
      <c r="CC10" s="0" t="n">
        <v>7.16</v>
      </c>
    </row>
    <row ht="12" customHeight="true" r="11">
      <c r="A11" s="0" t="inlineStr">
        <is>
          <t>2026-05-02</t>
        </is>
      </c>
      <c r="B11" s="0" t="inlineStr">
        <is>
          <t>Perth - Perth RedStar 1:1</t>
        </is>
      </c>
      <c r="C11" s="0" t="inlineStr">
        <is>
          <t>Australia. Western Australia NPL Women</t>
        </is>
      </c>
      <c r="D11" s="0" t="n">
        <v>96</v>
      </c>
      <c r="E11" s="0" t="inlineStr">
        <is>
          <t>Perth RedStar</t>
        </is>
      </c>
      <c r="F11" s="0" t="inlineStr">
        <is>
          <t>4-4-2 (100.0%)</t>
        </is>
      </c>
      <c r="G11" s="0" t="n">
        <v>1</v>
      </c>
      <c r="H11" s="0" t="n">
        <v>0.6</v>
      </c>
      <c r="I11" s="0" t="n">
        <v>6.0</v>
      </c>
      <c r="J11" s="0" t="n">
        <v>1.0</v>
      </c>
      <c r="K11" s="0" t="n">
        <v>16.67</v>
      </c>
      <c r="L11" s="0" t="n">
        <v>420.0</v>
      </c>
      <c r="M11" s="0" t="n">
        <v>315.0</v>
      </c>
      <c r="N11" s="0" t="n">
        <v>75.0</v>
      </c>
      <c r="O11" s="0" t="n">
        <v>54.14</v>
      </c>
      <c r="P11" s="0" t="n">
        <v>157.0</v>
      </c>
      <c r="Q11" s="0" t="n">
        <v>21.0</v>
      </c>
      <c r="R11" s="0" t="n">
        <v>68.0</v>
      </c>
      <c r="S11" s="0" t="n">
        <v>68.0</v>
      </c>
      <c r="T11" s="0" t="n">
        <v>105.0</v>
      </c>
      <c r="U11" s="0" t="n">
        <v>44.0</v>
      </c>
      <c r="V11" s="0" t="n">
        <v>46.0</v>
      </c>
      <c r="W11" s="0" t="n">
        <v>15.0</v>
      </c>
      <c r="X11" s="0" t="n">
        <v>259.0</v>
      </c>
      <c r="Y11" s="0" t="n">
        <v>116.0</v>
      </c>
      <c r="Z11" s="0" t="n">
        <v>44.79</v>
      </c>
      <c r="AA11" s="0" t="n">
        <v>3.0</v>
      </c>
      <c r="AB11" s="0" t="n">
        <v>0.0</v>
      </c>
      <c r="AC11" s="0" t="n">
        <v>0.0</v>
      </c>
      <c r="AD11" s="0" t="n">
        <v>30</v>
      </c>
      <c r="AE11" s="0" t="n">
        <v>3</v>
      </c>
      <c r="AF11" s="0" t="n">
        <v>10.0</v>
      </c>
      <c r="AG11" s="0" t="n">
        <v>21</v>
      </c>
      <c r="AH11" s="0" t="n">
        <v>2</v>
      </c>
      <c r="AI11" s="0" t="n">
        <v>9.52</v>
      </c>
      <c r="AJ11" s="0" t="n">
        <v>5.0</v>
      </c>
      <c r="AK11" s="0" t="n">
        <v>1.0</v>
      </c>
      <c r="AL11" s="0" t="n">
        <v>20.0</v>
      </c>
      <c r="AM11" s="0" t="n">
        <v>10.0</v>
      </c>
      <c r="AN11" s="0" t="n">
        <v>2.0</v>
      </c>
      <c r="AO11" s="0" t="n">
        <v>20.0</v>
      </c>
      <c r="AP11" s="0" t="n">
        <v>1.0</v>
      </c>
      <c r="AQ11" s="0" t="n">
        <v>5.0</v>
      </c>
      <c r="AR11" s="0" t="n">
        <v>7.0</v>
      </c>
      <c r="AS11" s="0" t="n">
        <v>129.0</v>
      </c>
      <c r="AT11" s="0" t="n">
        <v>27.0</v>
      </c>
      <c r="AU11" s="0" t="n">
        <v>20.93</v>
      </c>
      <c r="AV11" s="0" t="n">
        <v>1.0</v>
      </c>
      <c r="AW11" s="0" t="n">
        <v>11.0</v>
      </c>
      <c r="AX11" s="0" t="n">
        <v>6.0</v>
      </c>
      <c r="AY11" s="0" t="n">
        <v>54.55</v>
      </c>
      <c r="AZ11" s="0" t="n">
        <v>76.0</v>
      </c>
      <c r="BA11" s="0" t="n">
        <v>58.0</v>
      </c>
      <c r="BB11" s="0" t="n">
        <v>76.32</v>
      </c>
      <c r="BC11" s="0" t="n">
        <v>33.0</v>
      </c>
      <c r="BD11" s="0" t="n">
        <v>21.0</v>
      </c>
      <c r="BE11" s="0" t="n">
        <v>63.64</v>
      </c>
      <c r="BF11" s="0" t="n">
        <v>7.0</v>
      </c>
      <c r="BG11" s="0" t="n">
        <v>5.0</v>
      </c>
      <c r="BH11" s="0" t="n">
        <v>71.43</v>
      </c>
      <c r="BI11" s="0" t="n">
        <v>48.0</v>
      </c>
      <c r="BJ11" s="0" t="n">
        <v>23.0</v>
      </c>
      <c r="BK11" s="0" t="n">
        <v>5.0</v>
      </c>
      <c r="BL11" s="0" t="n">
        <v>1.0</v>
      </c>
      <c r="BM11" s="0" t="n">
        <v>0.0</v>
      </c>
      <c r="BN11" s="0" t="n">
        <v>155.0</v>
      </c>
      <c r="BO11" s="0" t="n">
        <v>97.0</v>
      </c>
      <c r="BP11" s="0" t="n">
        <v>62.58</v>
      </c>
      <c r="BQ11" s="0" t="n">
        <v>51.0</v>
      </c>
      <c r="BR11" s="0" t="n">
        <v>20.0</v>
      </c>
      <c r="BS11" s="0" t="n">
        <v>39.22</v>
      </c>
      <c r="BT11" s="0" t="n">
        <v>58.0</v>
      </c>
      <c r="BU11" s="0" t="n">
        <v>31.0</v>
      </c>
      <c r="BV11" s="0" t="n">
        <v>53.45</v>
      </c>
      <c r="BW11" s="0" t="n">
        <v>81.0</v>
      </c>
      <c r="BX11" s="0" t="n">
        <v>50.0</v>
      </c>
      <c r="BY11" s="0" t="n">
        <v>61.73</v>
      </c>
      <c r="BZ11" s="0" t="n">
        <v>35.0</v>
      </c>
      <c r="CA11" s="0" t="n">
        <v>29.0</v>
      </c>
      <c r="CB11" s="0" t="n">
        <v>82.86</v>
      </c>
      <c r="CC11" s="0" t="n">
        <v>7.69</v>
      </c>
    </row>
    <row ht="12" customHeight="true" r="12">
      <c r="A12" s="0" t="inlineStr">
        <is>
          <t>2026-04-26</t>
        </is>
      </c>
      <c r="B12" s="0" t="inlineStr">
        <is>
          <t>UWA Nedlands - Perth 1:3</t>
        </is>
      </c>
      <c r="C12" s="0" t="inlineStr">
        <is>
          <t>Australia. Western Australia NPL Women</t>
        </is>
      </c>
      <c r="D12" s="0" t="n">
        <v>93</v>
      </c>
      <c r="E12" s="0" t="inlineStr">
        <is>
          <t>Perth</t>
        </is>
      </c>
      <c r="F12" s="0" t="inlineStr">
        <is>
          <t>4-3-3 (100.0%)</t>
        </is>
      </c>
      <c r="G12" s="0" t="n">
        <v>3</v>
      </c>
      <c r="H12" s="0" t="n">
        <v>1.68</v>
      </c>
      <c r="I12" s="0" t="n">
        <v>17.0</v>
      </c>
      <c r="J12" s="0" t="n">
        <v>8.0</v>
      </c>
      <c r="K12" s="0" t="n">
        <v>47.06</v>
      </c>
      <c r="L12" s="0" t="n">
        <v>366.0</v>
      </c>
      <c r="M12" s="0" t="n">
        <v>250.0</v>
      </c>
      <c r="N12" s="0" t="n">
        <v>68.31</v>
      </c>
      <c r="O12" s="0" t="n">
        <v>52.0</v>
      </c>
      <c r="P12" s="0" t="n">
        <v>113.0</v>
      </c>
      <c r="Q12" s="0" t="n">
        <v>10.0</v>
      </c>
      <c r="R12" s="0" t="n">
        <v>41.0</v>
      </c>
      <c r="S12" s="0" t="n">
        <v>62.0</v>
      </c>
      <c r="T12" s="0" t="n">
        <v>92.0</v>
      </c>
      <c r="U12" s="0" t="n">
        <v>29.0</v>
      </c>
      <c r="V12" s="0" t="n">
        <v>39.0</v>
      </c>
      <c r="W12" s="0" t="n">
        <v>24.0</v>
      </c>
      <c r="X12" s="0" t="n">
        <v>203.0</v>
      </c>
      <c r="Y12" s="0" t="n">
        <v>106.0</v>
      </c>
      <c r="Z12" s="0" t="n">
        <v>52.22</v>
      </c>
      <c r="AA12" s="0" t="n">
        <v>7.0</v>
      </c>
      <c r="AB12" s="0" t="n">
        <v>3.0</v>
      </c>
      <c r="AC12" s="0" t="n">
        <v>42.86</v>
      </c>
      <c r="AD12" s="0" t="n">
        <v>50</v>
      </c>
      <c r="AE12" s="0" t="n">
        <v>13</v>
      </c>
      <c r="AF12" s="0" t="n">
        <v>26.0</v>
      </c>
      <c r="AG12" s="0" t="n">
        <v>20</v>
      </c>
      <c r="AH12" s="0" t="n">
        <v>4</v>
      </c>
      <c r="AI12" s="0" t="n">
        <v>20.0</v>
      </c>
      <c r="AJ12" s="0" t="n">
        <v>11.0</v>
      </c>
      <c r="AK12" s="0" t="n">
        <v>3.0</v>
      </c>
      <c r="AL12" s="0" t="n">
        <v>27.27</v>
      </c>
      <c r="AM12" s="0" t="n">
        <v>29.0</v>
      </c>
      <c r="AN12" s="0" t="n">
        <v>9.0</v>
      </c>
      <c r="AO12" s="0" t="n">
        <v>31.03</v>
      </c>
      <c r="AP12" s="0" t="n">
        <v>11.0</v>
      </c>
      <c r="AQ12" s="0" t="n">
        <v>6.0</v>
      </c>
      <c r="AR12" s="0" t="n">
        <v>28.0</v>
      </c>
      <c r="AS12" s="0" t="n">
        <v>73.0</v>
      </c>
      <c r="AT12" s="0" t="n">
        <v>27.0</v>
      </c>
      <c r="AU12" s="0" t="n">
        <v>36.99</v>
      </c>
      <c r="AV12" s="0" t="n">
        <v>1.0</v>
      </c>
      <c r="AW12" s="0" t="n">
        <v>4.0</v>
      </c>
      <c r="AX12" s="0" t="n">
        <v>4.0</v>
      </c>
      <c r="AY12" s="0" t="n">
        <v>100.0</v>
      </c>
      <c r="AZ12" s="0" t="n">
        <v>80.0</v>
      </c>
      <c r="BA12" s="0" t="n">
        <v>58.0</v>
      </c>
      <c r="BB12" s="0" t="n">
        <v>72.5</v>
      </c>
      <c r="BC12" s="0" t="n">
        <v>19.0</v>
      </c>
      <c r="BD12" s="0" t="n">
        <v>10.0</v>
      </c>
      <c r="BE12" s="0" t="n">
        <v>52.63</v>
      </c>
      <c r="BF12" s="0" t="n">
        <v>1.0</v>
      </c>
      <c r="BG12" s="0" t="n">
        <v>0.0</v>
      </c>
      <c r="BH12" s="0" t="n">
        <v>0.0</v>
      </c>
      <c r="BI12" s="0" t="n">
        <v>30.0</v>
      </c>
      <c r="BJ12" s="0" t="n">
        <v>16.0</v>
      </c>
      <c r="BK12" s="0" t="n">
        <v>6.0</v>
      </c>
      <c r="BL12" s="0" t="n">
        <v>0.0</v>
      </c>
      <c r="BM12" s="0" t="n">
        <v>0.0</v>
      </c>
      <c r="BN12" s="0" t="n">
        <v>149.0</v>
      </c>
      <c r="BO12" s="0" t="n">
        <v>88.0</v>
      </c>
      <c r="BP12" s="0" t="n">
        <v>59.06</v>
      </c>
      <c r="BQ12" s="0" t="n">
        <v>53.0</v>
      </c>
      <c r="BR12" s="0" t="n">
        <v>23.0</v>
      </c>
      <c r="BS12" s="0" t="n">
        <v>43.4</v>
      </c>
      <c r="BT12" s="0" t="n">
        <v>56.0</v>
      </c>
      <c r="BU12" s="0" t="n">
        <v>29.0</v>
      </c>
      <c r="BV12" s="0" t="n">
        <v>51.79</v>
      </c>
      <c r="BW12" s="0" t="n">
        <v>84.0</v>
      </c>
      <c r="BX12" s="0" t="n">
        <v>51.0</v>
      </c>
      <c r="BY12" s="0" t="n">
        <v>60.71</v>
      </c>
      <c r="BZ12" s="0" t="n">
        <v>41.0</v>
      </c>
      <c r="CA12" s="0" t="n">
        <v>36.0</v>
      </c>
      <c r="CB12" s="0" t="n">
        <v>87.8</v>
      </c>
      <c r="CC12" s="0" t="n">
        <v>6.2</v>
      </c>
    </row>
    <row ht="12" customHeight="true" r="13">
      <c r="A13" s="0" t="inlineStr">
        <is>
          <t>2026-04-26</t>
        </is>
      </c>
      <c r="B13" s="0" t="inlineStr">
        <is>
          <t>UWA Nedlands - Perth 1:3</t>
        </is>
      </c>
      <c r="C13" s="0" t="inlineStr">
        <is>
          <t>Australia. Western Australia NPL Women</t>
        </is>
      </c>
      <c r="D13" s="0" t="n">
        <v>93</v>
      </c>
      <c r="E13" s="0" t="inlineStr">
        <is>
          <t>UWA Nedlands</t>
        </is>
      </c>
      <c r="F13" s="0" t="inlineStr">
        <is>
          <t>4-2-3-1 (100.0%)</t>
        </is>
      </c>
      <c r="G13" s="0" t="n">
        <v>1</v>
      </c>
      <c r="H13" s="0" t="n">
        <v>0.23</v>
      </c>
      <c r="I13" s="0" t="n">
        <v>4.0</v>
      </c>
      <c r="J13" s="0" t="n">
        <v>4.0</v>
      </c>
      <c r="K13" s="0" t="n">
        <v>100.0</v>
      </c>
      <c r="L13" s="0" t="n">
        <v>281.0</v>
      </c>
      <c r="M13" s="0" t="n">
        <v>185.0</v>
      </c>
      <c r="N13" s="0" t="n">
        <v>65.84</v>
      </c>
      <c r="O13" s="0" t="n">
        <v>48.0</v>
      </c>
      <c r="P13" s="0" t="n">
        <v>150.0</v>
      </c>
      <c r="Q13" s="0" t="n">
        <v>33.0</v>
      </c>
      <c r="R13" s="0" t="n">
        <v>67.0</v>
      </c>
      <c r="S13" s="0" t="n">
        <v>50.0</v>
      </c>
      <c r="T13" s="0" t="n">
        <v>75.0</v>
      </c>
      <c r="U13" s="0" t="n">
        <v>40.0</v>
      </c>
      <c r="V13" s="0" t="n">
        <v>31.0</v>
      </c>
      <c r="W13" s="0" t="n">
        <v>4.0</v>
      </c>
      <c r="X13" s="0" t="n">
        <v>203.0</v>
      </c>
      <c r="Y13" s="0" t="n">
        <v>93.0</v>
      </c>
      <c r="Z13" s="0" t="n">
        <v>45.81</v>
      </c>
      <c r="AA13" s="0" t="n">
        <v>3.0</v>
      </c>
      <c r="AB13" s="0" t="n">
        <v>3.0</v>
      </c>
      <c r="AC13" s="0" t="n">
        <v>100.0</v>
      </c>
      <c r="AD13" s="0" t="n">
        <v>19</v>
      </c>
      <c r="AE13" s="0" t="n">
        <v>1</v>
      </c>
      <c r="AF13" s="0" t="n">
        <v>5.26</v>
      </c>
      <c r="AG13" s="0" t="n">
        <v>32</v>
      </c>
      <c r="AH13" s="0" t="n">
        <v>2</v>
      </c>
      <c r="AI13" s="0" t="n">
        <v>6.25</v>
      </c>
      <c r="AJ13" s="0" t="n">
        <v>3.0</v>
      </c>
      <c r="AK13" s="0" t="n">
        <v>0.0</v>
      </c>
      <c r="AL13" s="0" t="n">
        <v>0.0</v>
      </c>
      <c r="AM13" s="0" t="n">
        <v>10.0</v>
      </c>
      <c r="AN13" s="0" t="n">
        <v>1.0</v>
      </c>
      <c r="AO13" s="0" t="n">
        <v>10.0</v>
      </c>
      <c r="AP13" s="0" t="n">
        <v>1.0</v>
      </c>
      <c r="AQ13" s="0" t="n">
        <v>0.0</v>
      </c>
      <c r="AR13" s="0" t="n">
        <v>3.0</v>
      </c>
      <c r="AS13" s="0" t="n">
        <v>80.0</v>
      </c>
      <c r="AT13" s="0" t="n">
        <v>22.0</v>
      </c>
      <c r="AU13" s="0" t="n">
        <v>27.5</v>
      </c>
      <c r="AV13" s="0" t="n">
        <v>3.0</v>
      </c>
      <c r="AW13" s="0" t="n">
        <v>17.0</v>
      </c>
      <c r="AX13" s="0" t="n">
        <v>8.0</v>
      </c>
      <c r="AY13" s="0" t="n">
        <v>47.06</v>
      </c>
      <c r="AZ13" s="0" t="n">
        <v>73.0</v>
      </c>
      <c r="BA13" s="0" t="n">
        <v>46.0</v>
      </c>
      <c r="BB13" s="0" t="n">
        <v>63.01</v>
      </c>
      <c r="BC13" s="0" t="n">
        <v>19.0</v>
      </c>
      <c r="BD13" s="0" t="n">
        <v>9.0</v>
      </c>
      <c r="BE13" s="0" t="n">
        <v>47.37</v>
      </c>
      <c r="BF13" s="0" t="n">
        <v>4.0</v>
      </c>
      <c r="BG13" s="0" t="n">
        <v>2.0</v>
      </c>
      <c r="BH13" s="0" t="n">
        <v>50.0</v>
      </c>
      <c r="BI13" s="0" t="n">
        <v>60.0</v>
      </c>
      <c r="BJ13" s="0" t="n">
        <v>22.0</v>
      </c>
      <c r="BK13" s="0" t="n">
        <v>5.0</v>
      </c>
      <c r="BL13" s="0" t="n">
        <v>0.0</v>
      </c>
      <c r="BM13" s="0" t="n">
        <v>0.0</v>
      </c>
      <c r="BN13" s="0" t="n">
        <v>116.0</v>
      </c>
      <c r="BO13" s="0" t="n">
        <v>65.0</v>
      </c>
      <c r="BP13" s="0" t="n">
        <v>56.03</v>
      </c>
      <c r="BQ13" s="0" t="n">
        <v>57.0</v>
      </c>
      <c r="BR13" s="0" t="n">
        <v>23.0</v>
      </c>
      <c r="BS13" s="0" t="n">
        <v>40.35</v>
      </c>
      <c r="BT13" s="0" t="n">
        <v>44.0</v>
      </c>
      <c r="BU13" s="0" t="n">
        <v>23.0</v>
      </c>
      <c r="BV13" s="0" t="n">
        <v>52.27</v>
      </c>
      <c r="BW13" s="0" t="n">
        <v>68.0</v>
      </c>
      <c r="BX13" s="0" t="n">
        <v>34.0</v>
      </c>
      <c r="BY13" s="0" t="n">
        <v>50.0</v>
      </c>
      <c r="BZ13" s="0" t="n">
        <v>31.0</v>
      </c>
      <c r="CA13" s="0" t="n">
        <v>22.0</v>
      </c>
      <c r="CB13" s="0" t="n">
        <v>70.97</v>
      </c>
      <c r="CC13" s="0" t="n">
        <v>11.41</v>
      </c>
    </row>
    <row ht="12" customHeight="true" r="14">
      <c r="A14" s="0" t="inlineStr">
        <is>
          <t>2026-04-17</t>
        </is>
      </c>
      <c r="B14" s="0" t="inlineStr">
        <is>
          <t>Perth - Balcatta 0:0</t>
        </is>
      </c>
      <c r="C14" s="0" t="inlineStr">
        <is>
          <t>Australia. Western Australia NPL Women</t>
        </is>
      </c>
      <c r="D14" s="0" t="n">
        <v>99</v>
      </c>
      <c r="E14" s="0" t="inlineStr">
        <is>
          <t>Perth</t>
        </is>
      </c>
      <c r="F14" s="0" t="inlineStr">
        <is>
          <t>4-1-4-1 (100.0%)</t>
        </is>
      </c>
      <c r="G14" s="0" t="n">
        <v>0</v>
      </c>
      <c r="H14" s="0" t="n">
        <v>1.24</v>
      </c>
      <c r="I14" s="0" t="n">
        <v>13.0</v>
      </c>
      <c r="J14" s="0" t="n">
        <v>4.0</v>
      </c>
      <c r="K14" s="0" t="n">
        <v>30.77</v>
      </c>
      <c r="L14" s="0" t="n">
        <v>391.0</v>
      </c>
      <c r="M14" s="0" t="n">
        <v>281.0</v>
      </c>
      <c r="N14" s="0" t="n">
        <v>71.87</v>
      </c>
      <c r="O14" s="0" t="n">
        <v>39.92</v>
      </c>
      <c r="P14" s="0" t="n">
        <v>137.0</v>
      </c>
      <c r="Q14" s="0" t="n">
        <v>17.0</v>
      </c>
      <c r="R14" s="0" t="n">
        <v>60.0</v>
      </c>
      <c r="S14" s="0" t="n">
        <v>60.0</v>
      </c>
      <c r="T14" s="0" t="n">
        <v>115.0</v>
      </c>
      <c r="U14" s="0" t="n">
        <v>55.0</v>
      </c>
      <c r="V14" s="0" t="n">
        <v>37.0</v>
      </c>
      <c r="W14" s="0" t="n">
        <v>23.0</v>
      </c>
      <c r="X14" s="0" t="n">
        <v>200.0</v>
      </c>
      <c r="Y14" s="0" t="n">
        <v>98.0</v>
      </c>
      <c r="Z14" s="0" t="n">
        <v>49.0</v>
      </c>
      <c r="AA14" s="0" t="n">
        <v>4.0</v>
      </c>
      <c r="AB14" s="0" t="n">
        <v>2.0</v>
      </c>
      <c r="AC14" s="0" t="n">
        <v>50.0</v>
      </c>
      <c r="AD14" s="0" t="n">
        <v>34</v>
      </c>
      <c r="AE14" s="0" t="n">
        <v>12</v>
      </c>
      <c r="AF14" s="0" t="n">
        <v>35.29</v>
      </c>
      <c r="AG14" s="0" t="n">
        <v>20</v>
      </c>
      <c r="AH14" s="0" t="n">
        <v>1</v>
      </c>
      <c r="AI14" s="0" t="n">
        <v>5.0</v>
      </c>
      <c r="AJ14" s="0" t="n">
        <v>4.0</v>
      </c>
      <c r="AK14" s="0" t="n">
        <v>1.0</v>
      </c>
      <c r="AL14" s="0" t="n">
        <v>25.0</v>
      </c>
      <c r="AM14" s="0" t="n">
        <v>17.0</v>
      </c>
      <c r="AN14" s="0" t="n">
        <v>8.0</v>
      </c>
      <c r="AO14" s="0" t="n">
        <v>47.06</v>
      </c>
      <c r="AP14" s="0" t="n">
        <v>7.0</v>
      </c>
      <c r="AQ14" s="0" t="n">
        <v>3.0</v>
      </c>
      <c r="AR14" s="0" t="n">
        <v>16.0</v>
      </c>
      <c r="AS14" s="0" t="n">
        <v>68.0</v>
      </c>
      <c r="AT14" s="0" t="n">
        <v>22.0</v>
      </c>
      <c r="AU14" s="0" t="n">
        <v>32.35</v>
      </c>
      <c r="AV14" s="0" t="n">
        <v>0.0</v>
      </c>
      <c r="AW14" s="0" t="n">
        <v>10.0</v>
      </c>
      <c r="AX14" s="0" t="n">
        <v>4.0</v>
      </c>
      <c r="AY14" s="0" t="n">
        <v>40.0</v>
      </c>
      <c r="AZ14" s="0" t="n">
        <v>83.0</v>
      </c>
      <c r="BA14" s="0" t="n">
        <v>56.0</v>
      </c>
      <c r="BB14" s="0" t="n">
        <v>67.47</v>
      </c>
      <c r="BC14" s="0" t="n">
        <v>16.0</v>
      </c>
      <c r="BD14" s="0" t="n">
        <v>6.0</v>
      </c>
      <c r="BE14" s="0" t="n">
        <v>37.5</v>
      </c>
      <c r="BF14" s="0" t="n">
        <v>0.0</v>
      </c>
      <c r="BG14" s="0" t="n">
        <v>0.0</v>
      </c>
      <c r="BH14" s="0" t="n">
        <v>0</v>
      </c>
      <c r="BI14" s="0" t="n">
        <v>60.0</v>
      </c>
      <c r="BJ14" s="0" t="n">
        <v>14.0</v>
      </c>
      <c r="BK14" s="0" t="n">
        <v>10.0</v>
      </c>
      <c r="BL14" s="0" t="n">
        <v>2.0</v>
      </c>
      <c r="BM14" s="0" t="n">
        <v>0.0</v>
      </c>
      <c r="BN14" s="0" t="n">
        <v>181.0</v>
      </c>
      <c r="BO14" s="0" t="n">
        <v>108.0</v>
      </c>
      <c r="BP14" s="0" t="n">
        <v>59.67</v>
      </c>
      <c r="BQ14" s="0" t="n">
        <v>70.0</v>
      </c>
      <c r="BR14" s="0" t="n">
        <v>27.0</v>
      </c>
      <c r="BS14" s="0" t="n">
        <v>38.57</v>
      </c>
      <c r="BT14" s="0" t="n">
        <v>49.0</v>
      </c>
      <c r="BU14" s="0" t="n">
        <v>25.0</v>
      </c>
      <c r="BV14" s="0" t="n">
        <v>51.02</v>
      </c>
      <c r="BW14" s="0" t="n">
        <v>92.0</v>
      </c>
      <c r="BX14" s="0" t="n">
        <v>48.0</v>
      </c>
      <c r="BY14" s="0" t="n">
        <v>52.17</v>
      </c>
      <c r="BZ14" s="0" t="n">
        <v>23.0</v>
      </c>
      <c r="CA14" s="0" t="n">
        <v>18.0</v>
      </c>
      <c r="CB14" s="0" t="n">
        <v>78.26</v>
      </c>
      <c r="CC14" s="0" t="n">
        <v>9.02</v>
      </c>
    </row>
    <row ht="12" customHeight="true" r="15">
      <c r="A15" s="0" t="inlineStr">
        <is>
          <t>2026-04-17</t>
        </is>
      </c>
      <c r="B15" s="0" t="inlineStr">
        <is>
          <t>Perth - Balcatta 0:0</t>
        </is>
      </c>
      <c r="C15" s="0" t="inlineStr">
        <is>
          <t>Australia. Western Australia NPL Women</t>
        </is>
      </c>
      <c r="D15" s="0" t="n">
        <v>99</v>
      </c>
      <c r="E15" s="0" t="inlineStr">
        <is>
          <t>Balcatta</t>
        </is>
      </c>
      <c r="F15" s="0" t="inlineStr">
        <is>
          <t>4-4-1-1 (100.0%)</t>
        </is>
      </c>
      <c r="G15" s="0" t="n">
        <v>0</v>
      </c>
      <c r="H15" s="0" t="n">
        <v>0.73</v>
      </c>
      <c r="I15" s="0" t="n">
        <v>10.0</v>
      </c>
      <c r="J15" s="0" t="n">
        <v>4.0</v>
      </c>
      <c r="K15" s="0" t="n">
        <v>40.0</v>
      </c>
      <c r="L15" s="0" t="n">
        <v>503.0</v>
      </c>
      <c r="M15" s="0" t="n">
        <v>371.0</v>
      </c>
      <c r="N15" s="0" t="n">
        <v>73.76</v>
      </c>
      <c r="O15" s="0" t="n">
        <v>60.08</v>
      </c>
      <c r="P15" s="0" t="n">
        <v>162.0</v>
      </c>
      <c r="Q15" s="0" t="n">
        <v>31.0</v>
      </c>
      <c r="R15" s="0" t="n">
        <v>52.0</v>
      </c>
      <c r="S15" s="0" t="n">
        <v>79.0</v>
      </c>
      <c r="T15" s="0" t="n">
        <v>104.0</v>
      </c>
      <c r="U15" s="0" t="n">
        <v>41.0</v>
      </c>
      <c r="V15" s="0" t="n">
        <v>53.0</v>
      </c>
      <c r="W15" s="0" t="n">
        <v>10.0</v>
      </c>
      <c r="X15" s="0" t="n">
        <v>200.0</v>
      </c>
      <c r="Y15" s="0" t="n">
        <v>99.0</v>
      </c>
      <c r="Z15" s="0" t="n">
        <v>49.5</v>
      </c>
      <c r="AA15" s="0" t="n">
        <v>5.0</v>
      </c>
      <c r="AB15" s="0" t="n">
        <v>1.0</v>
      </c>
      <c r="AC15" s="0" t="n">
        <v>20.0</v>
      </c>
      <c r="AD15" s="0" t="n">
        <v>41</v>
      </c>
      <c r="AE15" s="0" t="n">
        <v>6</v>
      </c>
      <c r="AF15" s="0" t="n">
        <v>14.63</v>
      </c>
      <c r="AG15" s="0" t="n">
        <v>25</v>
      </c>
      <c r="AH15" s="0" t="n">
        <v>4</v>
      </c>
      <c r="AI15" s="0" t="n">
        <v>16.0</v>
      </c>
      <c r="AJ15" s="0" t="n">
        <v>4.0</v>
      </c>
      <c r="AK15" s="0" t="n">
        <v>1.0</v>
      </c>
      <c r="AL15" s="0" t="n">
        <v>25.0</v>
      </c>
      <c r="AM15" s="0" t="n">
        <v>20.0</v>
      </c>
      <c r="AN15" s="0" t="n">
        <v>4.0</v>
      </c>
      <c r="AO15" s="0" t="n">
        <v>20.0</v>
      </c>
      <c r="AP15" s="0" t="n">
        <v>4.0</v>
      </c>
      <c r="AQ15" s="0" t="n">
        <v>3.0</v>
      </c>
      <c r="AR15" s="0" t="n">
        <v>13.0</v>
      </c>
      <c r="AS15" s="0" t="n">
        <v>83.0</v>
      </c>
      <c r="AT15" s="0" t="n">
        <v>27.0</v>
      </c>
      <c r="AU15" s="0" t="n">
        <v>32.53</v>
      </c>
      <c r="AV15" s="0" t="n">
        <v>0.0</v>
      </c>
      <c r="AW15" s="0" t="n">
        <v>13.0</v>
      </c>
      <c r="AX15" s="0" t="n">
        <v>4.0</v>
      </c>
      <c r="AY15" s="0" t="n">
        <v>30.77</v>
      </c>
      <c r="AZ15" s="0" t="n">
        <v>68.0</v>
      </c>
      <c r="BA15" s="0" t="n">
        <v>46.0</v>
      </c>
      <c r="BB15" s="0" t="n">
        <v>67.65</v>
      </c>
      <c r="BC15" s="0" t="n">
        <v>16.0</v>
      </c>
      <c r="BD15" s="0" t="n">
        <v>9.0</v>
      </c>
      <c r="BE15" s="0" t="n">
        <v>56.25</v>
      </c>
      <c r="BF15" s="0" t="n">
        <v>0.0</v>
      </c>
      <c r="BG15" s="0" t="n">
        <v>0.0</v>
      </c>
      <c r="BH15" s="0" t="n">
        <v>0</v>
      </c>
      <c r="BI15" s="0" t="n">
        <v>33.0</v>
      </c>
      <c r="BJ15" s="0" t="n">
        <v>11.0</v>
      </c>
      <c r="BK15" s="0" t="n">
        <v>6.0</v>
      </c>
      <c r="BL15" s="0" t="n">
        <v>1.0</v>
      </c>
      <c r="BM15" s="0" t="n">
        <v>0.0</v>
      </c>
      <c r="BN15" s="0" t="n">
        <v>184.0</v>
      </c>
      <c r="BO15" s="0" t="n">
        <v>107.0</v>
      </c>
      <c r="BP15" s="0" t="n">
        <v>58.15</v>
      </c>
      <c r="BQ15" s="0" t="n">
        <v>53.0</v>
      </c>
      <c r="BR15" s="0" t="n">
        <v>19.0</v>
      </c>
      <c r="BS15" s="0" t="n">
        <v>35.85</v>
      </c>
      <c r="BT15" s="0" t="n">
        <v>70.0</v>
      </c>
      <c r="BU15" s="0" t="n">
        <v>38.0</v>
      </c>
      <c r="BV15" s="0" t="n">
        <v>54.29</v>
      </c>
      <c r="BW15" s="0" t="n">
        <v>84.0</v>
      </c>
      <c r="BX15" s="0" t="n">
        <v>49.0</v>
      </c>
      <c r="BY15" s="0" t="n">
        <v>58.33</v>
      </c>
      <c r="BZ15" s="0" t="n">
        <v>35.0</v>
      </c>
      <c r="CA15" s="0" t="n">
        <v>32.0</v>
      </c>
      <c r="CB15" s="0" t="n">
        <v>91.43</v>
      </c>
      <c r="CC15" s="0" t="n">
        <v>12.58</v>
      </c>
    </row>
    <row ht="12" customHeight="true" r="16">
      <c r="A16" s="0" t="inlineStr">
        <is>
          <t>2026-04-10</t>
        </is>
      </c>
      <c r="B16" s="0" t="inlineStr">
        <is>
          <t>Perth - Fremantle City 0:0</t>
        </is>
      </c>
      <c r="C16" s="0" t="inlineStr">
        <is>
          <t>Australia. Western Australia NPL Women</t>
        </is>
      </c>
      <c r="D16" s="0" t="n">
        <v>95</v>
      </c>
      <c r="E16" s="0" t="inlineStr">
        <is>
          <t>Perth</t>
        </is>
      </c>
      <c r="F16" s="0" t="inlineStr">
        <is>
          <t>4-2-3-1 (48.4%)</t>
        </is>
      </c>
      <c r="G16" s="0" t="n">
        <v>0</v>
      </c>
      <c r="H16" s="0" t="n">
        <v>0.53</v>
      </c>
      <c r="I16" s="0" t="n">
        <v>10.0</v>
      </c>
      <c r="J16" s="0" t="n">
        <v>3.0</v>
      </c>
      <c r="K16" s="0" t="n">
        <v>30.0</v>
      </c>
      <c r="L16" s="0" t="n">
        <v>516.0</v>
      </c>
      <c r="M16" s="0" t="n">
        <v>416.0</v>
      </c>
      <c r="N16" s="0" t="n">
        <v>80.62</v>
      </c>
      <c r="O16" s="0" t="n">
        <v>51.92</v>
      </c>
      <c r="P16" s="0" t="n">
        <v>128.0</v>
      </c>
      <c r="Q16" s="0" t="n">
        <v>18.0</v>
      </c>
      <c r="R16" s="0" t="n">
        <v>53.0</v>
      </c>
      <c r="S16" s="0" t="n">
        <v>57.0</v>
      </c>
      <c r="T16" s="0" t="n">
        <v>97.0</v>
      </c>
      <c r="U16" s="0" t="n">
        <v>54.0</v>
      </c>
      <c r="V16" s="0" t="n">
        <v>32.0</v>
      </c>
      <c r="W16" s="0" t="n">
        <v>11.0</v>
      </c>
      <c r="X16" s="0" t="n">
        <v>173.0</v>
      </c>
      <c r="Y16" s="0" t="n">
        <v>87.0</v>
      </c>
      <c r="Z16" s="0" t="n">
        <v>50.29</v>
      </c>
      <c r="AA16" s="0" t="n">
        <v>5.0</v>
      </c>
      <c r="AB16" s="0" t="n">
        <v>2.0</v>
      </c>
      <c r="AC16" s="0" t="n">
        <v>40.0</v>
      </c>
      <c r="AD16" s="0" t="n">
        <v>31</v>
      </c>
      <c r="AE16" s="0" t="n">
        <v>9</v>
      </c>
      <c r="AF16" s="0" t="n">
        <v>29.03</v>
      </c>
      <c r="AG16" s="0" t="n">
        <v>15</v>
      </c>
      <c r="AH16" s="0" t="n">
        <v>0</v>
      </c>
      <c r="AI16" s="0" t="n">
        <v>0.0</v>
      </c>
      <c r="AJ16" s="0" t="n">
        <v>3.0</v>
      </c>
      <c r="AK16" s="0" t="n">
        <v>0.0</v>
      </c>
      <c r="AL16" s="0" t="n">
        <v>0.0</v>
      </c>
      <c r="AM16" s="0" t="n">
        <v>13.0</v>
      </c>
      <c r="AN16" s="0" t="n">
        <v>4.0</v>
      </c>
      <c r="AO16" s="0" t="n">
        <v>30.77</v>
      </c>
      <c r="AP16" s="0" t="n">
        <v>3.0</v>
      </c>
      <c r="AQ16" s="0" t="n">
        <v>5.0</v>
      </c>
      <c r="AR16" s="0" t="n">
        <v>14.0</v>
      </c>
      <c r="AS16" s="0" t="n">
        <v>57.0</v>
      </c>
      <c r="AT16" s="0" t="n">
        <v>20.0</v>
      </c>
      <c r="AU16" s="0" t="n">
        <v>35.09</v>
      </c>
      <c r="AV16" s="0" t="n">
        <v>0.0</v>
      </c>
      <c r="AW16" s="0" t="n">
        <v>8.0</v>
      </c>
      <c r="AX16" s="0" t="n">
        <v>0.0</v>
      </c>
      <c r="AY16" s="0" t="n">
        <v>0.0</v>
      </c>
      <c r="AZ16" s="0" t="n">
        <v>77.0</v>
      </c>
      <c r="BA16" s="0" t="n">
        <v>49.0</v>
      </c>
      <c r="BB16" s="0" t="n">
        <v>63.64</v>
      </c>
      <c r="BC16" s="0" t="n">
        <v>11.0</v>
      </c>
      <c r="BD16" s="0" t="n">
        <v>2.0</v>
      </c>
      <c r="BE16" s="0" t="n">
        <v>18.18</v>
      </c>
      <c r="BF16" s="0" t="n">
        <v>3.0</v>
      </c>
      <c r="BG16" s="0" t="n">
        <v>3.0</v>
      </c>
      <c r="BH16" s="0" t="n">
        <v>100.0</v>
      </c>
      <c r="BI16" s="0" t="n">
        <v>60.0</v>
      </c>
      <c r="BJ16" s="0" t="n">
        <v>25.0</v>
      </c>
      <c r="BK16" s="0" t="n">
        <v>7.0</v>
      </c>
      <c r="BL16" s="0" t="n">
        <v>0.0</v>
      </c>
      <c r="BM16" s="0" t="n">
        <v>0.0</v>
      </c>
      <c r="BN16" s="0" t="n">
        <v>172.0</v>
      </c>
      <c r="BO16" s="0" t="n">
        <v>111.0</v>
      </c>
      <c r="BP16" s="0" t="n">
        <v>64.53</v>
      </c>
      <c r="BQ16" s="0" t="n">
        <v>54.0</v>
      </c>
      <c r="BR16" s="0" t="n">
        <v>23.0</v>
      </c>
      <c r="BS16" s="0" t="n">
        <v>42.59</v>
      </c>
      <c r="BT16" s="0" t="n">
        <v>61.0</v>
      </c>
      <c r="BU16" s="0" t="n">
        <v>29.0</v>
      </c>
      <c r="BV16" s="0" t="n">
        <v>47.54</v>
      </c>
      <c r="BW16" s="0" t="n">
        <v>71.0</v>
      </c>
      <c r="BX16" s="0" t="n">
        <v>51.0</v>
      </c>
      <c r="BY16" s="0" t="n">
        <v>71.83</v>
      </c>
      <c r="BZ16" s="0" t="n">
        <v>19.0</v>
      </c>
      <c r="CA16" s="0" t="n">
        <v>16.0</v>
      </c>
      <c r="CB16" s="0" t="n">
        <v>84.21</v>
      </c>
      <c r="CC16" s="0" t="n">
        <v>10.93</v>
      </c>
    </row>
    <row ht="12" customHeight="true" r="17">
      <c r="A17" s="0" t="inlineStr">
        <is>
          <t>2026-04-10</t>
        </is>
      </c>
      <c r="B17" s="0" t="inlineStr">
        <is>
          <t>Perth - Fremantle City 0:0</t>
        </is>
      </c>
      <c r="C17" s="0" t="inlineStr">
        <is>
          <t>Australia. Western Australia NPL Women</t>
        </is>
      </c>
      <c r="D17" s="0" t="n">
        <v>95</v>
      </c>
      <c r="E17" s="0" t="inlineStr">
        <is>
          <t>Fremantle City</t>
        </is>
      </c>
      <c r="F17" s="0" t="inlineStr">
        <is>
          <t>4-2-3-1 (100.0%)</t>
        </is>
      </c>
      <c r="G17" s="0" t="n">
        <v>0</v>
      </c>
      <c r="H17" s="0" t="n">
        <v>0.39</v>
      </c>
      <c r="I17" s="0" t="n">
        <v>8.0</v>
      </c>
      <c r="J17" s="0" t="n">
        <v>0.0</v>
      </c>
      <c r="K17" s="0" t="n">
        <v>0.0</v>
      </c>
      <c r="L17" s="0" t="n">
        <v>417.0</v>
      </c>
      <c r="M17" s="0" t="n">
        <v>314.0</v>
      </c>
      <c r="N17" s="0" t="n">
        <v>75.3</v>
      </c>
      <c r="O17" s="0" t="n">
        <v>48.08</v>
      </c>
      <c r="P17" s="0" t="n">
        <v>144.0</v>
      </c>
      <c r="Q17" s="0" t="n">
        <v>26.0</v>
      </c>
      <c r="R17" s="0" t="n">
        <v>35.0</v>
      </c>
      <c r="S17" s="0" t="n">
        <v>83.0</v>
      </c>
      <c r="T17" s="0" t="n">
        <v>79.0</v>
      </c>
      <c r="U17" s="0" t="n">
        <v>36.0</v>
      </c>
      <c r="V17" s="0" t="n">
        <v>38.0</v>
      </c>
      <c r="W17" s="0" t="n">
        <v>5.0</v>
      </c>
      <c r="X17" s="0" t="n">
        <v>173.0</v>
      </c>
      <c r="Y17" s="0" t="n">
        <v>81.0</v>
      </c>
      <c r="Z17" s="0" t="n">
        <v>46.82</v>
      </c>
      <c r="AA17" s="0" t="n">
        <v>6.0</v>
      </c>
      <c r="AB17" s="0" t="n">
        <v>0.0</v>
      </c>
      <c r="AC17" s="0" t="n">
        <v>0.0</v>
      </c>
      <c r="AD17" s="0" t="n">
        <v>33</v>
      </c>
      <c r="AE17" s="0" t="n">
        <v>5</v>
      </c>
      <c r="AF17" s="0" t="n">
        <v>15.15</v>
      </c>
      <c r="AG17" s="0" t="n">
        <v>20</v>
      </c>
      <c r="AH17" s="0" t="n">
        <v>3</v>
      </c>
      <c r="AI17" s="0" t="n">
        <v>15.0</v>
      </c>
      <c r="AJ17" s="0" t="n">
        <v>5.0</v>
      </c>
      <c r="AK17" s="0" t="n">
        <v>1.0</v>
      </c>
      <c r="AL17" s="0" t="n">
        <v>20.0</v>
      </c>
      <c r="AM17" s="0" t="n">
        <v>16.0</v>
      </c>
      <c r="AN17" s="0" t="n">
        <v>3.0</v>
      </c>
      <c r="AO17" s="0" t="n">
        <v>18.75</v>
      </c>
      <c r="AP17" s="0" t="n">
        <v>5.0</v>
      </c>
      <c r="AQ17" s="0" t="n">
        <v>2.0</v>
      </c>
      <c r="AR17" s="0" t="n">
        <v>9.0</v>
      </c>
      <c r="AS17" s="0" t="n">
        <v>77.0</v>
      </c>
      <c r="AT17" s="0" t="n">
        <v>28.0</v>
      </c>
      <c r="AU17" s="0" t="n">
        <v>36.36</v>
      </c>
      <c r="AV17" s="0" t="n">
        <v>0.0</v>
      </c>
      <c r="AW17" s="0" t="n">
        <v>10.0</v>
      </c>
      <c r="AX17" s="0" t="n">
        <v>6.0</v>
      </c>
      <c r="AY17" s="0" t="n">
        <v>60.0</v>
      </c>
      <c r="AZ17" s="0" t="n">
        <v>57.0</v>
      </c>
      <c r="BA17" s="0" t="n">
        <v>37.0</v>
      </c>
      <c r="BB17" s="0" t="n">
        <v>64.91</v>
      </c>
      <c r="BC17" s="0" t="n">
        <v>11.0</v>
      </c>
      <c r="BD17" s="0" t="n">
        <v>8.0</v>
      </c>
      <c r="BE17" s="0" t="n">
        <v>72.73</v>
      </c>
      <c r="BF17" s="0" t="n">
        <v>0.0</v>
      </c>
      <c r="BG17" s="0" t="n">
        <v>0.0</v>
      </c>
      <c r="BH17" s="0" t="n">
        <v>0</v>
      </c>
      <c r="BI17" s="0" t="n">
        <v>37.0</v>
      </c>
      <c r="BJ17" s="0" t="n">
        <v>13.0</v>
      </c>
      <c r="BK17" s="0" t="n">
        <v>4.0</v>
      </c>
      <c r="BL17" s="0" t="n">
        <v>1.0</v>
      </c>
      <c r="BM17" s="0" t="n">
        <v>0.0</v>
      </c>
      <c r="BN17" s="0" t="n">
        <v>164.0</v>
      </c>
      <c r="BO17" s="0" t="n">
        <v>108.0</v>
      </c>
      <c r="BP17" s="0" t="n">
        <v>65.85</v>
      </c>
      <c r="BQ17" s="0" t="n">
        <v>34.0</v>
      </c>
      <c r="BR17" s="0" t="n">
        <v>16.0</v>
      </c>
      <c r="BS17" s="0" t="n">
        <v>47.06</v>
      </c>
      <c r="BT17" s="0" t="n">
        <v>60.0</v>
      </c>
      <c r="BU17" s="0" t="n">
        <v>33.0</v>
      </c>
      <c r="BV17" s="0" t="n">
        <v>55.0</v>
      </c>
      <c r="BW17" s="0" t="n">
        <v>68.0</v>
      </c>
      <c r="BX17" s="0" t="n">
        <v>43.0</v>
      </c>
      <c r="BY17" s="0" t="n">
        <v>63.24</v>
      </c>
      <c r="BZ17" s="0" t="n">
        <v>42.0</v>
      </c>
      <c r="CA17" s="0" t="n">
        <v>33.0</v>
      </c>
      <c r="CB17" s="0" t="n">
        <v>78.57</v>
      </c>
      <c r="CC17" s="0" t="n">
        <v>14.72</v>
      </c>
    </row>
    <row ht="12" customHeight="true" r="18">
      <c r="A18" s="0" t="inlineStr">
        <is>
          <t>2026-04-06</t>
        </is>
      </c>
      <c r="B18" s="0" t="inlineStr">
        <is>
          <t>Sorrento - Perth 0:2</t>
        </is>
      </c>
      <c r="C18" s="0" t="inlineStr">
        <is>
          <t>Australia. Western Australia NPL Women</t>
        </is>
      </c>
      <c r="D18" s="0" t="n">
        <v>94</v>
      </c>
      <c r="E18" s="0" t="inlineStr">
        <is>
          <t>Perth</t>
        </is>
      </c>
      <c r="F18" s="0" t="inlineStr">
        <is>
          <t>4-1-4-1 (100.0%)</t>
        </is>
      </c>
      <c r="G18" s="0" t="n">
        <v>2</v>
      </c>
      <c r="H18" s="0" t="n">
        <v>1.84</v>
      </c>
      <c r="I18" s="0" t="n">
        <v>30.0</v>
      </c>
      <c r="J18" s="0" t="n">
        <v>8.0</v>
      </c>
      <c r="K18" s="0" t="n">
        <v>26.67</v>
      </c>
      <c r="L18" s="0" t="n">
        <v>472.0</v>
      </c>
      <c r="M18" s="0" t="n">
        <v>372.0</v>
      </c>
      <c r="N18" s="0" t="n">
        <v>78.81</v>
      </c>
      <c r="O18" s="0" t="n">
        <v>59.94</v>
      </c>
      <c r="P18" s="0" t="n">
        <v>112.0</v>
      </c>
      <c r="Q18" s="0" t="n">
        <v>10.0</v>
      </c>
      <c r="R18" s="0" t="n">
        <v>35.0</v>
      </c>
      <c r="S18" s="0" t="n">
        <v>67.0</v>
      </c>
      <c r="T18" s="0" t="n">
        <v>100.0</v>
      </c>
      <c r="U18" s="0" t="n">
        <v>19.0</v>
      </c>
      <c r="V18" s="0" t="n">
        <v>54.0</v>
      </c>
      <c r="W18" s="0" t="n">
        <v>27.0</v>
      </c>
      <c r="X18" s="0" t="n">
        <v>198.0</v>
      </c>
      <c r="Y18" s="0" t="n">
        <v>121.0</v>
      </c>
      <c r="Z18" s="0" t="n">
        <v>61.11</v>
      </c>
      <c r="AA18" s="0" t="n">
        <v>18.0</v>
      </c>
      <c r="AB18" s="0" t="n">
        <v>4.0</v>
      </c>
      <c r="AC18" s="0" t="n">
        <v>22.22</v>
      </c>
      <c r="AD18" s="0" t="n">
        <v>56</v>
      </c>
      <c r="AE18" s="0" t="n">
        <v>23</v>
      </c>
      <c r="AF18" s="0" t="n">
        <v>41.07</v>
      </c>
      <c r="AG18" s="0" t="n">
        <v>20</v>
      </c>
      <c r="AH18" s="0" t="n">
        <v>5</v>
      </c>
      <c r="AI18" s="0" t="n">
        <v>25.0</v>
      </c>
      <c r="AJ18" s="0" t="n">
        <v>8.0</v>
      </c>
      <c r="AK18" s="0" t="n">
        <v>3.0</v>
      </c>
      <c r="AL18" s="0" t="n">
        <v>37.5</v>
      </c>
      <c r="AM18" s="0" t="n">
        <v>21.0</v>
      </c>
      <c r="AN18" s="0" t="n">
        <v>5.0</v>
      </c>
      <c r="AO18" s="0" t="n">
        <v>23.81</v>
      </c>
      <c r="AP18" s="0" t="n">
        <v>7.0</v>
      </c>
      <c r="AQ18" s="0" t="n">
        <v>10.0</v>
      </c>
      <c r="AR18" s="0" t="n">
        <v>24.0</v>
      </c>
      <c r="AS18" s="0" t="n">
        <v>79.0</v>
      </c>
      <c r="AT18" s="0" t="n">
        <v>33.0</v>
      </c>
      <c r="AU18" s="0" t="n">
        <v>41.77</v>
      </c>
      <c r="AV18" s="0" t="n">
        <v>0.0</v>
      </c>
      <c r="AW18" s="0" t="n">
        <v>7.0</v>
      </c>
      <c r="AX18" s="0" t="n">
        <v>2.0</v>
      </c>
      <c r="AY18" s="0" t="n">
        <v>28.57</v>
      </c>
      <c r="AZ18" s="0" t="n">
        <v>85.0</v>
      </c>
      <c r="BA18" s="0" t="n">
        <v>65.0</v>
      </c>
      <c r="BB18" s="0" t="n">
        <v>76.47</v>
      </c>
      <c r="BC18" s="0" t="n">
        <v>9.0</v>
      </c>
      <c r="BD18" s="0" t="n">
        <v>7.0</v>
      </c>
      <c r="BE18" s="0" t="n">
        <v>77.78</v>
      </c>
      <c r="BF18" s="0" t="n">
        <v>2.0</v>
      </c>
      <c r="BG18" s="0" t="n">
        <v>1.0</v>
      </c>
      <c r="BH18" s="0" t="n">
        <v>50.0</v>
      </c>
      <c r="BI18" s="0" t="n">
        <v>48.0</v>
      </c>
      <c r="BJ18" s="0" t="n">
        <v>17.0</v>
      </c>
      <c r="BK18" s="0" t="n">
        <v>9.0</v>
      </c>
      <c r="BL18" s="0" t="n">
        <v>0.0</v>
      </c>
      <c r="BM18" s="0" t="n">
        <v>0.0</v>
      </c>
      <c r="BN18" s="0" t="n">
        <v>165.0</v>
      </c>
      <c r="BO18" s="0" t="n">
        <v>120.0</v>
      </c>
      <c r="BP18" s="0" t="n">
        <v>72.73</v>
      </c>
      <c r="BQ18" s="0" t="n">
        <v>39.0</v>
      </c>
      <c r="BR18" s="0" t="n">
        <v>18.0</v>
      </c>
      <c r="BS18" s="0" t="n">
        <v>46.15</v>
      </c>
      <c r="BT18" s="0" t="n">
        <v>78.0</v>
      </c>
      <c r="BU18" s="0" t="n">
        <v>54.0</v>
      </c>
      <c r="BV18" s="0" t="n">
        <v>69.23</v>
      </c>
      <c r="BW18" s="0" t="n">
        <v>98.0</v>
      </c>
      <c r="BX18" s="0" t="n">
        <v>76.0</v>
      </c>
      <c r="BY18" s="0" t="n">
        <v>77.55</v>
      </c>
      <c r="BZ18" s="0" t="n">
        <v>25.0</v>
      </c>
      <c r="CA18" s="0" t="n">
        <v>19.0</v>
      </c>
      <c r="CB18" s="0" t="n">
        <v>76.0</v>
      </c>
      <c r="CC18" s="0" t="n">
        <v>4.37</v>
      </c>
    </row>
    <row ht="12" customHeight="true" r="19">
      <c r="A19" s="0" t="inlineStr">
        <is>
          <t>2026-04-06</t>
        </is>
      </c>
      <c r="B19" s="0" t="inlineStr">
        <is>
          <t>Sorrento - Perth 0:2</t>
        </is>
      </c>
      <c r="C19" s="0" t="inlineStr">
        <is>
          <t>Australia. Western Australia NPL Women</t>
        </is>
      </c>
      <c r="D19" s="0" t="n">
        <v>94</v>
      </c>
      <c r="E19" s="0" t="inlineStr">
        <is>
          <t>Sorrento</t>
        </is>
      </c>
      <c r="F19" s="0" t="inlineStr">
        <is>
          <t>4-5-1 (100.0%)</t>
        </is>
      </c>
      <c r="G19" s="0" t="n">
        <v>0</v>
      </c>
      <c r="H19" s="0" t="n">
        <v>0.4</v>
      </c>
      <c r="I19" s="0" t="n">
        <v>7.0</v>
      </c>
      <c r="J19" s="0" t="n">
        <v>2.0</v>
      </c>
      <c r="K19" s="0" t="n">
        <v>28.57</v>
      </c>
      <c r="L19" s="0" t="n">
        <v>316.0</v>
      </c>
      <c r="M19" s="0" t="n">
        <v>221.0</v>
      </c>
      <c r="N19" s="0" t="n">
        <v>69.94</v>
      </c>
      <c r="O19" s="0" t="n">
        <v>40.06</v>
      </c>
      <c r="P19" s="0" t="n">
        <v>134.0</v>
      </c>
      <c r="Q19" s="0" t="n">
        <v>38.0</v>
      </c>
      <c r="R19" s="0" t="n">
        <v>68.0</v>
      </c>
      <c r="S19" s="0" t="n">
        <v>28.0</v>
      </c>
      <c r="T19" s="0" t="n">
        <v>72.0</v>
      </c>
      <c r="U19" s="0" t="n">
        <v>44.0</v>
      </c>
      <c r="V19" s="0" t="n">
        <v>20.0</v>
      </c>
      <c r="W19" s="0" t="n">
        <v>8.0</v>
      </c>
      <c r="X19" s="0" t="n">
        <v>198.0</v>
      </c>
      <c r="Y19" s="0" t="n">
        <v>74.0</v>
      </c>
      <c r="Z19" s="0" t="n">
        <v>37.37</v>
      </c>
      <c r="AA19" s="0" t="n">
        <v>4.0</v>
      </c>
      <c r="AB19" s="0" t="n">
        <v>0.0</v>
      </c>
      <c r="AC19" s="0" t="n">
        <v>0.0</v>
      </c>
      <c r="AD19" s="0" t="n">
        <v>19</v>
      </c>
      <c r="AE19" s="0" t="n">
        <v>6</v>
      </c>
      <c r="AF19" s="0" t="n">
        <v>31.58</v>
      </c>
      <c r="AG19" s="0" t="n">
        <v>41</v>
      </c>
      <c r="AH19" s="0" t="n">
        <v>0</v>
      </c>
      <c r="AI19" s="0" t="n">
        <v>0.0</v>
      </c>
      <c r="AJ19" s="0" t="n">
        <v>0.0</v>
      </c>
      <c r="AK19" s="0" t="n">
        <v>0.0</v>
      </c>
      <c r="AL19" s="0" t="n">
        <v>0</v>
      </c>
      <c r="AM19" s="0" t="n">
        <v>9.0</v>
      </c>
      <c r="AN19" s="0" t="n">
        <v>3.0</v>
      </c>
      <c r="AO19" s="0" t="n">
        <v>33.33</v>
      </c>
      <c r="AP19" s="0" t="n">
        <v>4.0</v>
      </c>
      <c r="AQ19" s="0" t="n">
        <v>3.0</v>
      </c>
      <c r="AR19" s="0" t="n">
        <v>6.0</v>
      </c>
      <c r="AS19" s="0" t="n">
        <v>85.0</v>
      </c>
      <c r="AT19" s="0" t="n">
        <v>20.0</v>
      </c>
      <c r="AU19" s="0" t="n">
        <v>23.53</v>
      </c>
      <c r="AV19" s="0" t="n">
        <v>2.0</v>
      </c>
      <c r="AW19" s="0" t="n">
        <v>30.0</v>
      </c>
      <c r="AX19" s="0" t="n">
        <v>8.0</v>
      </c>
      <c r="AY19" s="0" t="n">
        <v>26.67</v>
      </c>
      <c r="AZ19" s="0" t="n">
        <v>79.0</v>
      </c>
      <c r="BA19" s="0" t="n">
        <v>46.0</v>
      </c>
      <c r="BB19" s="0" t="n">
        <v>58.23</v>
      </c>
      <c r="BC19" s="0" t="n">
        <v>9.0</v>
      </c>
      <c r="BD19" s="0" t="n">
        <v>1.0</v>
      </c>
      <c r="BE19" s="0" t="n">
        <v>11.11</v>
      </c>
      <c r="BF19" s="0" t="n">
        <v>3.0</v>
      </c>
      <c r="BG19" s="0" t="n">
        <v>1.0</v>
      </c>
      <c r="BH19" s="0" t="n">
        <v>33.33</v>
      </c>
      <c r="BI19" s="0" t="n">
        <v>51.0</v>
      </c>
      <c r="BJ19" s="0" t="n">
        <v>20.0</v>
      </c>
      <c r="BK19" s="0" t="n">
        <v>7.0</v>
      </c>
      <c r="BL19" s="0" t="n">
        <v>1.0</v>
      </c>
      <c r="BM19" s="0" t="n">
        <v>0.0</v>
      </c>
      <c r="BN19" s="0" t="n">
        <v>153.0</v>
      </c>
      <c r="BO19" s="0" t="n">
        <v>94.0</v>
      </c>
      <c r="BP19" s="0" t="n">
        <v>61.44</v>
      </c>
      <c r="BQ19" s="0" t="n">
        <v>40.0</v>
      </c>
      <c r="BR19" s="0" t="n">
        <v>18.0</v>
      </c>
      <c r="BS19" s="0" t="n">
        <v>45.0</v>
      </c>
      <c r="BT19" s="0" t="n">
        <v>24.0</v>
      </c>
      <c r="BU19" s="0" t="n">
        <v>13.0</v>
      </c>
      <c r="BV19" s="0" t="n">
        <v>54.17</v>
      </c>
      <c r="BW19" s="0" t="n">
        <v>77.0</v>
      </c>
      <c r="BX19" s="0" t="n">
        <v>24.0</v>
      </c>
      <c r="BY19" s="0" t="n">
        <v>31.17</v>
      </c>
      <c r="BZ19" s="0" t="n">
        <v>24.0</v>
      </c>
      <c r="CA19" s="0" t="n">
        <v>12.0</v>
      </c>
      <c r="CB19" s="0" t="n">
        <v>50.0</v>
      </c>
      <c r="CC19" s="0" t="n">
        <v>13.46</v>
      </c>
    </row>
    <row ht="12" customHeight="true" r="20">
      <c r="A20" s="0" t="inlineStr">
        <is>
          <t>2026-03-29</t>
        </is>
      </c>
      <c r="B20" s="0" t="inlineStr">
        <is>
          <t>Perth - Subiaco 2:0</t>
        </is>
      </c>
      <c r="C20" s="0" t="inlineStr">
        <is>
          <t>Australia. Western Australia NPL Women</t>
        </is>
      </c>
      <c r="D20" s="0" t="n">
        <v>96</v>
      </c>
      <c r="E20" s="0" t="inlineStr">
        <is>
          <t>Perth</t>
        </is>
      </c>
      <c r="F20" s="0" t="inlineStr">
        <is>
          <t>4-2-3-1 (100.0%)</t>
        </is>
      </c>
      <c r="G20" s="0" t="n">
        <v>2</v>
      </c>
      <c r="H20" s="0" t="n">
        <v>1.74</v>
      </c>
      <c r="I20" s="0" t="n">
        <v>18.0</v>
      </c>
      <c r="J20" s="0" t="n">
        <v>8.0</v>
      </c>
      <c r="K20" s="0" t="n">
        <v>44.44</v>
      </c>
      <c r="L20" s="0" t="n">
        <v>429.0</v>
      </c>
      <c r="M20" s="0" t="n">
        <v>308.0</v>
      </c>
      <c r="N20" s="0" t="n">
        <v>71.79</v>
      </c>
      <c r="O20" s="0" t="n">
        <v>50.98</v>
      </c>
      <c r="P20" s="0" t="n">
        <v>167.0</v>
      </c>
      <c r="Q20" s="0" t="n">
        <v>38.0</v>
      </c>
      <c r="R20" s="0" t="n">
        <v>51.0</v>
      </c>
      <c r="S20" s="0" t="n">
        <v>78.0</v>
      </c>
      <c r="T20" s="0" t="n">
        <v>106.0</v>
      </c>
      <c r="U20" s="0" t="n">
        <v>51.0</v>
      </c>
      <c r="V20" s="0" t="n">
        <v>44.0</v>
      </c>
      <c r="W20" s="0" t="n">
        <v>11.0</v>
      </c>
      <c r="X20" s="0" t="n">
        <v>170.0</v>
      </c>
      <c r="Y20" s="0" t="n">
        <v>81.0</v>
      </c>
      <c r="Z20" s="0" t="n">
        <v>47.65</v>
      </c>
      <c r="AA20" s="0" t="n">
        <v>9.0</v>
      </c>
      <c r="AB20" s="0" t="n">
        <v>4.0</v>
      </c>
      <c r="AC20" s="0" t="n">
        <v>44.44</v>
      </c>
      <c r="AD20" s="0" t="n">
        <v>41</v>
      </c>
      <c r="AE20" s="0" t="n">
        <v>15</v>
      </c>
      <c r="AF20" s="0" t="n">
        <v>36.59</v>
      </c>
      <c r="AG20" s="0" t="n">
        <v>19</v>
      </c>
      <c r="AH20" s="0" t="n">
        <v>2</v>
      </c>
      <c r="AI20" s="0" t="n">
        <v>10.53</v>
      </c>
      <c r="AJ20" s="0" t="n">
        <v>1.0</v>
      </c>
      <c r="AK20" s="0" t="n">
        <v>0.0</v>
      </c>
      <c r="AL20" s="0" t="n">
        <v>0.0</v>
      </c>
      <c r="AM20" s="0" t="n">
        <v>11.0</v>
      </c>
      <c r="AN20" s="0" t="n">
        <v>1.0</v>
      </c>
      <c r="AO20" s="0" t="n">
        <v>9.09</v>
      </c>
      <c r="AP20" s="0" t="n">
        <v>2.0</v>
      </c>
      <c r="AQ20" s="0" t="n">
        <v>8.0</v>
      </c>
      <c r="AR20" s="0" t="n">
        <v>12.0</v>
      </c>
      <c r="AS20" s="0" t="n">
        <v>67.0</v>
      </c>
      <c r="AT20" s="0" t="n">
        <v>16.0</v>
      </c>
      <c r="AU20" s="0" t="n">
        <v>23.88</v>
      </c>
      <c r="AV20" s="0" t="n">
        <v>0.0</v>
      </c>
      <c r="AW20" s="0" t="n">
        <v>15.0</v>
      </c>
      <c r="AX20" s="0" t="n">
        <v>3.0</v>
      </c>
      <c r="AY20" s="0" t="n">
        <v>20.0</v>
      </c>
      <c r="AZ20" s="0" t="n">
        <v>75.0</v>
      </c>
      <c r="BA20" s="0" t="n">
        <v>55.0</v>
      </c>
      <c r="BB20" s="0" t="n">
        <v>73.33</v>
      </c>
      <c r="BC20" s="0" t="n">
        <v>10.0</v>
      </c>
      <c r="BD20" s="0" t="n">
        <v>4.0</v>
      </c>
      <c r="BE20" s="0" t="n">
        <v>40.0</v>
      </c>
      <c r="BF20" s="0" t="n">
        <v>1.0</v>
      </c>
      <c r="BG20" s="0" t="n">
        <v>1.0</v>
      </c>
      <c r="BH20" s="0" t="n">
        <v>100.0</v>
      </c>
      <c r="BI20" s="0" t="n">
        <v>69.0</v>
      </c>
      <c r="BJ20" s="0" t="n">
        <v>10.0</v>
      </c>
      <c r="BK20" s="0" t="n">
        <v>5.0</v>
      </c>
      <c r="BL20" s="0" t="n">
        <v>0.0</v>
      </c>
      <c r="BM20" s="0" t="n">
        <v>0.0</v>
      </c>
      <c r="BN20" s="0" t="n">
        <v>184.0</v>
      </c>
      <c r="BO20" s="0" t="n">
        <v>111.0</v>
      </c>
      <c r="BP20" s="0" t="n">
        <v>60.33</v>
      </c>
      <c r="BQ20" s="0" t="n">
        <v>44.0</v>
      </c>
      <c r="BR20" s="0" t="n">
        <v>22.0</v>
      </c>
      <c r="BS20" s="0" t="n">
        <v>50.0</v>
      </c>
      <c r="BT20" s="0" t="n">
        <v>78.0</v>
      </c>
      <c r="BU20" s="0" t="n">
        <v>37.0</v>
      </c>
      <c r="BV20" s="0" t="n">
        <v>47.44</v>
      </c>
      <c r="BW20" s="0" t="n">
        <v>110.0</v>
      </c>
      <c r="BX20" s="0" t="n">
        <v>65.0</v>
      </c>
      <c r="BY20" s="0" t="n">
        <v>59.09</v>
      </c>
      <c r="BZ20" s="0" t="n">
        <v>39.0</v>
      </c>
      <c r="CA20" s="0" t="n">
        <v>30.0</v>
      </c>
      <c r="CB20" s="0" t="n">
        <v>76.92</v>
      </c>
      <c r="CC20" s="0" t="n">
        <v>5.18</v>
      </c>
    </row>
    <row ht="12" customHeight="true" r="21">
      <c r="A21" s="0" t="inlineStr">
        <is>
          <t>2026-03-29</t>
        </is>
      </c>
      <c r="B21" s="0" t="inlineStr">
        <is>
          <t>Perth - Subiaco 2:0</t>
        </is>
      </c>
      <c r="C21" s="0" t="inlineStr">
        <is>
          <t>Australia. Western Australia NPL Women</t>
        </is>
      </c>
      <c r="D21" s="0" t="n">
        <v>96</v>
      </c>
      <c r="E21" s="0" t="inlineStr">
        <is>
          <t>Subiaco</t>
        </is>
      </c>
      <c r="F21" s="0" t="inlineStr">
        <is>
          <t>4-4-2 (49.52%)</t>
        </is>
      </c>
      <c r="G21" s="0" t="n">
        <v>0</v>
      </c>
      <c r="H21" s="0" t="n">
        <v>1.31</v>
      </c>
      <c r="I21" s="0" t="n">
        <v>15.0</v>
      </c>
      <c r="J21" s="0" t="n">
        <v>3.0</v>
      </c>
      <c r="K21" s="0" t="n">
        <v>20.0</v>
      </c>
      <c r="L21" s="0" t="n">
        <v>382.0</v>
      </c>
      <c r="M21" s="0" t="n">
        <v>260.0</v>
      </c>
      <c r="N21" s="0" t="n">
        <v>68.06</v>
      </c>
      <c r="O21" s="0" t="n">
        <v>49.02</v>
      </c>
      <c r="P21" s="0" t="n">
        <v>154.0</v>
      </c>
      <c r="Q21" s="0" t="n">
        <v>21.0</v>
      </c>
      <c r="R21" s="0" t="n">
        <v>68.0</v>
      </c>
      <c r="S21" s="0" t="n">
        <v>65.0</v>
      </c>
      <c r="T21" s="0" t="n">
        <v>94.0</v>
      </c>
      <c r="U21" s="0" t="n">
        <v>46.0</v>
      </c>
      <c r="V21" s="0" t="n">
        <v>26.0</v>
      </c>
      <c r="W21" s="0" t="n">
        <v>22.0</v>
      </c>
      <c r="X21" s="0" t="n">
        <v>170.0</v>
      </c>
      <c r="Y21" s="0" t="n">
        <v>88.0</v>
      </c>
      <c r="Z21" s="0" t="n">
        <v>51.76</v>
      </c>
      <c r="AA21" s="0" t="n">
        <v>8.0</v>
      </c>
      <c r="AB21" s="0" t="n">
        <v>2.0</v>
      </c>
      <c r="AC21" s="0" t="n">
        <v>25.0</v>
      </c>
      <c r="AD21" s="0" t="n">
        <v>33</v>
      </c>
      <c r="AE21" s="0" t="n">
        <v>8</v>
      </c>
      <c r="AF21" s="0" t="n">
        <v>24.24</v>
      </c>
      <c r="AG21" s="0" t="n">
        <v>33</v>
      </c>
      <c r="AH21" s="0" t="n">
        <v>7</v>
      </c>
      <c r="AI21" s="0" t="n">
        <v>21.21</v>
      </c>
      <c r="AJ21" s="0" t="n">
        <v>7.0</v>
      </c>
      <c r="AK21" s="0" t="n">
        <v>4.0</v>
      </c>
      <c r="AL21" s="0" t="n">
        <v>57.14</v>
      </c>
      <c r="AM21" s="0" t="n">
        <v>15.0</v>
      </c>
      <c r="AN21" s="0" t="n">
        <v>5.0</v>
      </c>
      <c r="AO21" s="0" t="n">
        <v>33.33</v>
      </c>
      <c r="AP21" s="0" t="n">
        <v>5.0</v>
      </c>
      <c r="AQ21" s="0" t="n">
        <v>5.0</v>
      </c>
      <c r="AR21" s="0" t="n">
        <v>16.0</v>
      </c>
      <c r="AS21" s="0" t="n">
        <v>75.0</v>
      </c>
      <c r="AT21" s="0" t="n">
        <v>20.0</v>
      </c>
      <c r="AU21" s="0" t="n">
        <v>26.67</v>
      </c>
      <c r="AV21" s="0" t="n">
        <v>2.0</v>
      </c>
      <c r="AW21" s="0" t="n">
        <v>18.0</v>
      </c>
      <c r="AX21" s="0" t="n">
        <v>8.0</v>
      </c>
      <c r="AY21" s="0" t="n">
        <v>44.44</v>
      </c>
      <c r="AZ21" s="0" t="n">
        <v>67.0</v>
      </c>
      <c r="BA21" s="0" t="n">
        <v>51.0</v>
      </c>
      <c r="BB21" s="0" t="n">
        <v>76.12</v>
      </c>
      <c r="BC21" s="0" t="n">
        <v>10.0</v>
      </c>
      <c r="BD21" s="0" t="n">
        <v>6.0</v>
      </c>
      <c r="BE21" s="0" t="n">
        <v>60.0</v>
      </c>
      <c r="BF21" s="0" t="n">
        <v>5.0</v>
      </c>
      <c r="BG21" s="0" t="n">
        <v>3.0</v>
      </c>
      <c r="BH21" s="0" t="n">
        <v>60.0</v>
      </c>
      <c r="BI21" s="0" t="n">
        <v>50.0</v>
      </c>
      <c r="BJ21" s="0" t="n">
        <v>18.0</v>
      </c>
      <c r="BK21" s="0" t="n">
        <v>4.0</v>
      </c>
      <c r="BL21" s="0" t="n">
        <v>1.0</v>
      </c>
      <c r="BM21" s="0" t="n">
        <v>0.0</v>
      </c>
      <c r="BN21" s="0" t="n">
        <v>170.0</v>
      </c>
      <c r="BO21" s="0" t="n">
        <v>102.0</v>
      </c>
      <c r="BP21" s="0" t="n">
        <v>60.0</v>
      </c>
      <c r="BQ21" s="0" t="n">
        <v>54.0</v>
      </c>
      <c r="BR21" s="0" t="n">
        <v>32.0</v>
      </c>
      <c r="BS21" s="0" t="n">
        <v>59.26</v>
      </c>
      <c r="BT21" s="0" t="n">
        <v>57.0</v>
      </c>
      <c r="BU21" s="0" t="n">
        <v>30.0</v>
      </c>
      <c r="BV21" s="0" t="n">
        <v>52.63</v>
      </c>
      <c r="BW21" s="0" t="n">
        <v>89.0</v>
      </c>
      <c r="BX21" s="0" t="n">
        <v>46.0</v>
      </c>
      <c r="BY21" s="0" t="n">
        <v>51.69</v>
      </c>
      <c r="BZ21" s="0" t="n">
        <v>33.0</v>
      </c>
      <c r="CA21" s="0" t="n">
        <v>28.0</v>
      </c>
      <c r="CB21" s="0" t="n">
        <v>84.85</v>
      </c>
      <c r="CC21" s="0" t="n">
        <v>10.47</v>
      </c>
    </row>
    <row ht="12" customHeight="true" r="22">
      <c r="A22" s="0" t="inlineStr">
        <is>
          <t>2026-03-20</t>
        </is>
      </c>
      <c r="B22" s="0" t="inlineStr">
        <is>
          <t>Perth - UWA Nedlands 6:0</t>
        </is>
      </c>
      <c r="C22" s="0" t="inlineStr">
        <is>
          <t>Australia. Western Australia NPL Women</t>
        </is>
      </c>
      <c r="D22" s="0" t="n">
        <v>95</v>
      </c>
      <c r="E22" s="0" t="inlineStr">
        <is>
          <t>Perth</t>
        </is>
      </c>
      <c r="F22" s="0" t="inlineStr">
        <is>
          <t>4-3-3 (100.0%)</t>
        </is>
      </c>
      <c r="G22" s="0" t="n">
        <v>6</v>
      </c>
      <c r="H22" s="0" t="n">
        <v>1.77</v>
      </c>
      <c r="I22" s="0" t="n">
        <v>20.0</v>
      </c>
      <c r="J22" s="0" t="n">
        <v>11.0</v>
      </c>
      <c r="K22" s="0" t="n">
        <v>55.0</v>
      </c>
      <c r="L22" s="0" t="n">
        <v>514.0</v>
      </c>
      <c r="M22" s="0" t="n">
        <v>411.0</v>
      </c>
      <c r="N22" s="0" t="n">
        <v>79.96</v>
      </c>
      <c r="O22" s="0" t="n">
        <v>62.41</v>
      </c>
      <c r="P22" s="0" t="n">
        <v>132.0</v>
      </c>
      <c r="Q22" s="0" t="n">
        <v>4.0</v>
      </c>
      <c r="R22" s="0" t="n">
        <v>27.0</v>
      </c>
      <c r="S22" s="0" t="n">
        <v>101.0</v>
      </c>
      <c r="T22" s="0" t="n">
        <v>95.0</v>
      </c>
      <c r="U22" s="0" t="n">
        <v>19.0</v>
      </c>
      <c r="V22" s="0" t="n">
        <v>44.0</v>
      </c>
      <c r="W22" s="0" t="n">
        <v>32.0</v>
      </c>
      <c r="X22" s="0" t="n">
        <v>155.0</v>
      </c>
      <c r="Y22" s="0" t="n">
        <v>78.0</v>
      </c>
      <c r="Z22" s="0" t="n">
        <v>50.32</v>
      </c>
      <c r="AA22" s="0" t="n">
        <v>13.0</v>
      </c>
      <c r="AB22" s="0" t="n">
        <v>6.0</v>
      </c>
      <c r="AC22" s="0" t="n">
        <v>46.15</v>
      </c>
      <c r="AD22" s="0" t="n">
        <v>67</v>
      </c>
      <c r="AE22" s="0" t="n">
        <v>17</v>
      </c>
      <c r="AF22" s="0" t="n">
        <v>25.37</v>
      </c>
      <c r="AG22" s="0" t="n">
        <v>13</v>
      </c>
      <c r="AH22" s="0" t="n">
        <v>3</v>
      </c>
      <c r="AI22" s="0" t="n">
        <v>23.08</v>
      </c>
      <c r="AJ22" s="0" t="n">
        <v>7.0</v>
      </c>
      <c r="AK22" s="0" t="n">
        <v>2.0</v>
      </c>
      <c r="AL22" s="0" t="n">
        <v>28.57</v>
      </c>
      <c r="AM22" s="0" t="n">
        <v>29.0</v>
      </c>
      <c r="AN22" s="0" t="n">
        <v>8.0</v>
      </c>
      <c r="AO22" s="0" t="n">
        <v>27.59</v>
      </c>
      <c r="AP22" s="0" t="n">
        <v>7.0</v>
      </c>
      <c r="AQ22" s="0" t="n">
        <v>5.0</v>
      </c>
      <c r="AR22" s="0" t="n">
        <v>22.0</v>
      </c>
      <c r="AS22" s="0" t="n">
        <v>70.0</v>
      </c>
      <c r="AT22" s="0" t="n">
        <v>27.0</v>
      </c>
      <c r="AU22" s="0" t="n">
        <v>38.57</v>
      </c>
      <c r="AV22" s="0" t="n">
        <v>0.0</v>
      </c>
      <c r="AW22" s="0" t="n">
        <v>4.0</v>
      </c>
      <c r="AX22" s="0" t="n">
        <v>2.0</v>
      </c>
      <c r="AY22" s="0" t="n">
        <v>50.0</v>
      </c>
      <c r="AZ22" s="0" t="n">
        <v>54.0</v>
      </c>
      <c r="BA22" s="0" t="n">
        <v>38.0</v>
      </c>
      <c r="BB22" s="0" t="n">
        <v>70.37</v>
      </c>
      <c r="BC22" s="0" t="n">
        <v>11.0</v>
      </c>
      <c r="BD22" s="0" t="n">
        <v>6.0</v>
      </c>
      <c r="BE22" s="0" t="n">
        <v>54.55</v>
      </c>
      <c r="BF22" s="0" t="n">
        <v>1.0</v>
      </c>
      <c r="BG22" s="0" t="n">
        <v>1.0</v>
      </c>
      <c r="BH22" s="0" t="n">
        <v>100.0</v>
      </c>
      <c r="BI22" s="0" t="n">
        <v>26.0</v>
      </c>
      <c r="BJ22" s="0" t="n">
        <v>4.0</v>
      </c>
      <c r="BK22" s="0" t="n">
        <v>6.0</v>
      </c>
      <c r="BL22" s="0" t="n">
        <v>1.0</v>
      </c>
      <c r="BM22" s="0" t="n">
        <v>0.0</v>
      </c>
      <c r="BN22" s="0" t="n">
        <v>180.0</v>
      </c>
      <c r="BO22" s="0" t="n">
        <v>136.0</v>
      </c>
      <c r="BP22" s="0" t="n">
        <v>75.56</v>
      </c>
      <c r="BQ22" s="0" t="n">
        <v>46.0</v>
      </c>
      <c r="BR22" s="0" t="n">
        <v>19.0</v>
      </c>
      <c r="BS22" s="0" t="n">
        <v>41.3</v>
      </c>
      <c r="BT22" s="0" t="n">
        <v>78.0</v>
      </c>
      <c r="BU22" s="0" t="n">
        <v>52.0</v>
      </c>
      <c r="BV22" s="0" t="n">
        <v>66.67</v>
      </c>
      <c r="BW22" s="0" t="n">
        <v>75.0</v>
      </c>
      <c r="BX22" s="0" t="n">
        <v>67.0</v>
      </c>
      <c r="BY22" s="0" t="n">
        <v>89.33</v>
      </c>
      <c r="BZ22" s="0" t="n">
        <v>32.0</v>
      </c>
      <c r="CA22" s="0" t="n">
        <v>29.0</v>
      </c>
      <c r="CB22" s="0" t="n">
        <v>90.63</v>
      </c>
      <c r="CC22" s="0" t="n">
        <v>8.74</v>
      </c>
    </row>
    <row ht="12" customHeight="true" r="23">
      <c r="A23" s="0" t="inlineStr">
        <is>
          <t>2026-03-20</t>
        </is>
      </c>
      <c r="B23" s="0" t="inlineStr">
        <is>
          <t>Perth - UWA Nedlands 6:0</t>
        </is>
      </c>
      <c r="C23" s="0" t="inlineStr">
        <is>
          <t>Australia. Western Australia NPL Women</t>
        </is>
      </c>
      <c r="D23" s="0" t="n">
        <v>95</v>
      </c>
      <c r="E23" s="0" t="inlineStr">
        <is>
          <t>UWA Nedlands</t>
        </is>
      </c>
      <c r="F23" s="0" t="inlineStr">
        <is>
          <t>3-5-2 (100.0%)</t>
        </is>
      </c>
      <c r="G23" s="0" t="n">
        <v>0</v>
      </c>
      <c r="H23" s="0" t="n">
        <v>0.1</v>
      </c>
      <c r="I23" s="0" t="n">
        <v>4.0</v>
      </c>
      <c r="J23" s="0" t="n">
        <v>2.0</v>
      </c>
      <c r="K23" s="0" t="n">
        <v>50.0</v>
      </c>
      <c r="L23" s="0" t="n">
        <v>319.0</v>
      </c>
      <c r="M23" s="0" t="n">
        <v>229.0</v>
      </c>
      <c r="N23" s="0" t="n">
        <v>71.79</v>
      </c>
      <c r="O23" s="0" t="n">
        <v>37.59</v>
      </c>
      <c r="P23" s="0" t="n">
        <v>126.0</v>
      </c>
      <c r="Q23" s="0" t="n">
        <v>43.0</v>
      </c>
      <c r="R23" s="0" t="n">
        <v>62.0</v>
      </c>
      <c r="S23" s="0" t="n">
        <v>21.0</v>
      </c>
      <c r="T23" s="0" t="n">
        <v>80.0</v>
      </c>
      <c r="U23" s="0" t="n">
        <v>48.0</v>
      </c>
      <c r="V23" s="0" t="n">
        <v>31.0</v>
      </c>
      <c r="W23" s="0" t="n">
        <v>1.0</v>
      </c>
      <c r="X23" s="0" t="n">
        <v>155.0</v>
      </c>
      <c r="Y23" s="0" t="n">
        <v>74.0</v>
      </c>
      <c r="Z23" s="0" t="n">
        <v>47.74</v>
      </c>
      <c r="AA23" s="0" t="n">
        <v>4.0</v>
      </c>
      <c r="AB23" s="0" t="n">
        <v>2.0</v>
      </c>
      <c r="AC23" s="0" t="n">
        <v>50.0</v>
      </c>
      <c r="AD23" s="0" t="n">
        <v>6</v>
      </c>
      <c r="AE23" s="0" t="n">
        <v>2</v>
      </c>
      <c r="AF23" s="0" t="n">
        <v>33.33</v>
      </c>
      <c r="AG23" s="0" t="n">
        <v>23</v>
      </c>
      <c r="AH23" s="0" t="n">
        <v>1</v>
      </c>
      <c r="AI23" s="0" t="n">
        <v>4.35</v>
      </c>
      <c r="AJ23" s="0" t="n">
        <v>0.0</v>
      </c>
      <c r="AK23" s="0" t="n">
        <v>0.0</v>
      </c>
      <c r="AL23" s="0" t="n">
        <v>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2.0</v>
      </c>
      <c r="AR23" s="0" t="n">
        <v>4.0</v>
      </c>
      <c r="AS23" s="0" t="n">
        <v>54.0</v>
      </c>
      <c r="AT23" s="0" t="n">
        <v>16.0</v>
      </c>
      <c r="AU23" s="0" t="n">
        <v>29.63</v>
      </c>
      <c r="AV23" s="0" t="n">
        <v>6.0</v>
      </c>
      <c r="AW23" s="0" t="n">
        <v>20.0</v>
      </c>
      <c r="AX23" s="0" t="n">
        <v>13.0</v>
      </c>
      <c r="AY23" s="0" t="n">
        <v>65.0</v>
      </c>
      <c r="AZ23" s="0" t="n">
        <v>70.0</v>
      </c>
      <c r="BA23" s="0" t="n">
        <v>43.0</v>
      </c>
      <c r="BB23" s="0" t="n">
        <v>61.43</v>
      </c>
      <c r="BC23" s="0" t="n">
        <v>11.0</v>
      </c>
      <c r="BD23" s="0" t="n">
        <v>4.0</v>
      </c>
      <c r="BE23" s="0" t="n">
        <v>36.36</v>
      </c>
      <c r="BF23" s="0" t="n">
        <v>1.0</v>
      </c>
      <c r="BG23" s="0" t="n">
        <v>1.0</v>
      </c>
      <c r="BH23" s="0" t="n">
        <v>100.0</v>
      </c>
      <c r="BI23" s="0" t="n">
        <v>52.0</v>
      </c>
      <c r="BJ23" s="0" t="n">
        <v>22.0</v>
      </c>
      <c r="BK23" s="0" t="n">
        <v>3.0</v>
      </c>
      <c r="BL23" s="0" t="n">
        <v>0.0</v>
      </c>
      <c r="BM23" s="0" t="n">
        <v>0.0</v>
      </c>
      <c r="BN23" s="0" t="n">
        <v>132.0</v>
      </c>
      <c r="BO23" s="0" t="n">
        <v>73.0</v>
      </c>
      <c r="BP23" s="0" t="n">
        <v>55.3</v>
      </c>
      <c r="BQ23" s="0" t="n">
        <v>56.0</v>
      </c>
      <c r="BR23" s="0" t="n">
        <v>27.0</v>
      </c>
      <c r="BS23" s="0" t="n">
        <v>48.21</v>
      </c>
      <c r="BT23" s="0" t="n">
        <v>25.0</v>
      </c>
      <c r="BU23" s="0" t="n">
        <v>13.0</v>
      </c>
      <c r="BV23" s="0" t="n">
        <v>52.0</v>
      </c>
      <c r="BW23" s="0" t="n">
        <v>70.0</v>
      </c>
      <c r="BX23" s="0" t="n">
        <v>20.0</v>
      </c>
      <c r="BY23" s="0" t="n">
        <v>28.57</v>
      </c>
      <c r="BZ23" s="0" t="n">
        <v>14.0</v>
      </c>
      <c r="CA23" s="0" t="n">
        <v>11.0</v>
      </c>
      <c r="CB23" s="0" t="n">
        <v>78.57</v>
      </c>
      <c r="CC23" s="0" t="n">
        <v>22.31</v>
      </c>
    </row>
  </sheetData>
  <sheetCalcPr fullCalcOnLoad="true"/>
  <mergeCells count="60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S1:AU1"/>
    <mergeCell ref="AW1:AY1"/>
    <mergeCell ref="AZ1:BB1"/>
    <mergeCell ref="BC1:BE1"/>
    <mergeCell ref="BF1:BH1"/>
    <mergeCell ref="BN1:BP1"/>
    <mergeCell ref="BQ1:BS1"/>
    <mergeCell ref="BT1:BV1"/>
    <mergeCell ref="BW1:BY1"/>
    <mergeCell ref="BZ1:CB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2026-06-13T03:54:35Z</dcterms:created>
  <cp:revision>0</cp:revision>
</cp:coreProperties>
</file>