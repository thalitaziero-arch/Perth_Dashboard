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47A86F5C-E903-A24C-984D-C9BAA88DCD48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TeamStats" sheetId="1" r:id="rId1"/>
    <sheet name="Dashboard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3" i="1" l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<sst xmlns="http://schemas.openxmlformats.org/spreadsheetml/2006/main" count="306" uniqueCount="106">
  <si>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</si>
  <si>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</si>
  <si>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</si>
  <si>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</si>
  <si>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</si>
  <si>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</si>
  <si>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</si>
  <si>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</si>
  <si>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</si>
  <si>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Passes / accurate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</si>
  <si>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</si>
  <si>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</si>
  <si>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</si>
  <si>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</si>
  <si>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</si>
  <si>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</si>
  <si>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</si>
  <si>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</si>
  <si>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</si>
  <si>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crosses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</si>
  <si>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</si>
  <si>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</si>
  <si>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</si>
  <si>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</si>
  <si>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</si>
  <si>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</si>
  <si>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</si>
  <si>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</si>
  <si>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</si>
  <si>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</si>
  <si>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</si>
  <si>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</si>
  <si>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</si>
  <si>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</si>
  <si>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</si>
  <si>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</si>
  <si>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</si>
  <si>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</si>
  <si>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</si>
  <si>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</si>
  <si>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</si>
  <si>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2026-07-05</t>
  </si>
  <si>
    <t>Perth RedStar - Perth 0:1</t>
  </si>
  <si>
    <t>Australia. Western Australia NPL Women</t>
  </si>
  <si>
    <t>4-2-3-1 (100.0%)</t>
  </si>
  <si>
    <t>Perth RedStar</t>
  </si>
  <si>
    <t>4-3-3 (100.0%)</t>
  </si>
  <si>
    <t>2026-06-28</t>
  </si>
  <si>
    <t>Perth - Fremantle City 2:1</t>
  </si>
  <si>
    <t>Fremantle City</t>
  </si>
  <si>
    <t>4-4-2 (100.0%)</t>
  </si>
  <si>
    <t>2026-06-20</t>
  </si>
  <si>
    <t>Balcatta - Perth 0:1</t>
  </si>
  <si>
    <t>4-1-4-1 (100.0%)</t>
  </si>
  <si>
    <t>Balcatta</t>
  </si>
  <si>
    <t>4-2-3-1 (49.96%)</t>
  </si>
  <si>
    <t>2026-06-14</t>
  </si>
  <si>
    <t>Perth - West NTC 3:0</t>
  </si>
  <si>
    <t>West NTC</t>
  </si>
  <si>
    <t>2026-05-31</t>
  </si>
  <si>
    <t>Perth - Sorrento 3:0</t>
  </si>
  <si>
    <t>Sorrento</t>
  </si>
  <si>
    <t>4-5-1 (100.0%)</t>
  </si>
  <si>
    <t>2026-05-24</t>
  </si>
  <si>
    <t>Subiaco - Perth 0:5</t>
  </si>
  <si>
    <t>Subiaco</t>
  </si>
  <si>
    <t>2026-05-16</t>
  </si>
  <si>
    <t>West NTC - Perth 0:1</t>
  </si>
  <si>
    <t>2026-05-02</t>
  </si>
  <si>
    <t>Perth - Perth RedStar 1:1</t>
  </si>
  <si>
    <t>2026-04-26</t>
  </si>
  <si>
    <t>UWA Nedlands - Perth 1:3</t>
  </si>
  <si>
    <t>UWA Nedlands</t>
  </si>
  <si>
    <t>2026-04-17</t>
  </si>
  <si>
    <t>Perth - Balcatta 0:0</t>
  </si>
  <si>
    <t>4-4-1-1 (100.0%)</t>
  </si>
  <si>
    <t>2026-04-10</t>
  </si>
  <si>
    <t>Perth - Fremantle City 0:0</t>
  </si>
  <si>
    <t>4-2-3-1 (48.4%)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</si>
  <si>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</si>
  <si>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</si>
  <si>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</si>
  <si>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</si>
  <si>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</si>
  <si>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</si>
  <si>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</si>
  <si>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</si>
  <si>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Round</t>
  </si>
  <si>
    <t>Shots</t>
  </si>
  <si>
    <t>Shots_on_target</t>
  </si>
  <si>
    <t>Shots_acc_pct</t>
  </si>
  <si>
    <t>Passes</t>
  </si>
  <si>
    <t>Passes_accurate</t>
  </si>
  <si>
    <t>Passes_acc_pct</t>
  </si>
  <si>
    <t>Possession_pct</t>
  </si>
  <si>
    <t>Losses_total</t>
  </si>
  <si>
    <t>Losses_low</t>
  </si>
  <si>
    <t>Losses_medium</t>
  </si>
  <si>
    <t>Losses_high</t>
  </si>
  <si>
    <t>Recoveries_total</t>
  </si>
  <si>
    <t>Recoveries_low</t>
  </si>
  <si>
    <t>Recoveries_medium</t>
  </si>
  <si>
    <t>Recoveries_high</t>
  </si>
  <si>
    <t>Duels_total</t>
  </si>
  <si>
    <t>Duels_won</t>
  </si>
  <si>
    <t>Duels_won_pct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</si>
</sst>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rial"/>
      <family val="1"/>
    </font>
    <font>
      <b/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51"/>
  <sheetViews>
    <sheetView tabSelected="1" showOutlineSymbols="0" showWhiteSpace="0" topLeftCell="A2" workbookViewId="0">
      <selection activeCell="CD51" sqref="BY32:CD51"/>
    </sheetView>
  </sheetViews>
  <sheetFormatPr baseColWidth="10" defaultColWidth="8.83203125" defaultRowHeight="14" x14ac:dyDescent="0.15"/>
  <cols>
    <col min="1" max="1" width="11.83203125" bestFit="1" customWidth="1"/>
    <col min="2" max="2" width="27.33203125" bestFit="1" customWidth="1"/>
    <col min="3" max="3" width="24" bestFit="1" customWidth="1"/>
    <col min="4" max="4" width="7.5" bestFit="1" customWidth="1"/>
    <col min="5" max="5" width="17.33203125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7" width="6.33203125" bestFit="1" customWidth="1"/>
    <col min="18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81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8</v>
      </c>
      <c r="J1" s="3"/>
      <c r="K1" s="3"/>
      <c r="L1" s="3" t="s">
        <v>9</v>
      </c>
      <c r="M1" s="3"/>
      <c r="N1" s="3"/>
      <c r="O1" t="s">
        <v>10</v>
      </c>
      <c r="P1" s="3" t="s">
        <v>11</v>
      </c>
      <c r="Q1" s="3"/>
      <c r="R1" s="3"/>
      <c r="S1" s="3"/>
      <c r="T1" s="3" t="s">
        <v>12</v>
      </c>
      <c r="U1" s="3"/>
      <c r="V1" s="3"/>
      <c r="W1" s="3"/>
      <c r="X1" s="3" t="s">
        <v>13</v>
      </c>
      <c r="Y1" s="3"/>
      <c r="Z1" s="3"/>
      <c r="AA1" s="3" t="s">
        <v>14</v>
      </c>
      <c r="AB1" s="3"/>
      <c r="AC1" s="3"/>
      <c r="AD1" s="3" t="s">
        <v>15</v>
      </c>
      <c r="AE1" s="3"/>
      <c r="AF1" s="3"/>
      <c r="AG1" s="3" t="s">
        <v>16</v>
      </c>
      <c r="AH1" s="3"/>
      <c r="AI1" s="3"/>
      <c r="AJ1" s="3" t="s">
        <v>17</v>
      </c>
      <c r="AK1" s="3"/>
      <c r="AL1" s="3"/>
      <c r="AM1" s="3" t="s">
        <v>18</v>
      </c>
      <c r="AN1" s="3"/>
      <c r="AO1" s="3"/>
      <c r="AP1" t="s">
        <v>19</v>
      </c>
      <c r="AQ1" t="s">
        <v>20</v>
      </c>
      <c r="AR1" t="s">
        <v>21</v>
      </c>
      <c r="AS1" s="3" t="s">
        <v>22</v>
      </c>
      <c r="AT1" s="3"/>
      <c r="AU1" s="3"/>
      <c r="AV1" t="s">
        <v>23</v>
      </c>
      <c r="AW1" s="3" t="s">
        <v>24</v>
      </c>
      <c r="AX1" s="3"/>
      <c r="AY1" s="3"/>
      <c r="AZ1" s="3" t="s">
        <v>25</v>
      </c>
      <c r="BA1" s="3"/>
      <c r="BB1" s="3"/>
      <c r="BC1" s="3" t="s">
        <v>26</v>
      </c>
      <c r="BD1" s="3"/>
      <c r="BE1" s="3"/>
      <c r="BF1" s="3" t="s">
        <v>27</v>
      </c>
      <c r="BG1" s="3"/>
      <c r="BH1" s="3"/>
      <c r="BI1" t="s">
        <v>28</v>
      </c>
      <c r="BJ1" t="s">
        <v>29</v>
      </c>
      <c r="BK1" t="s">
        <v>30</v>
      </c>
      <c r="BL1" t="s">
        <v>31</v>
      </c>
      <c r="BM1" t="s">
        <v>32</v>
      </c>
      <c r="BN1" s="3" t="s">
        <v>33</v>
      </c>
      <c r="BO1" s="3"/>
      <c r="BP1" s="3"/>
      <c r="BQ1" s="3" t="s">
        <v>34</v>
      </c>
      <c r="BR1" s="3"/>
      <c r="BS1" s="3"/>
      <c r="BT1" s="3" t="s">
        <v>35</v>
      </c>
      <c r="BU1" s="3"/>
      <c r="BV1" s="3"/>
      <c r="BW1" s="3" t="s">
        <v>36</v>
      </c>
      <c r="BX1" s="3"/>
      <c r="BY1" s="3"/>
      <c r="BZ1" s="3" t="s">
        <v>37</v>
      </c>
      <c r="CA1" s="3"/>
      <c r="CB1" s="3"/>
      <c r="CC1" t="s">
        <v>38</v>
      </c>
    </row>
    <row r="2" spans="1:81" x14ac:dyDescent="0.15">
      <c r="A2" s="1" t="s">
        <v>39</v>
      </c>
      <c r="B2" s="1"/>
      <c r="C2" s="1"/>
      <c r="D2" s="1"/>
      <c r="E2" s="1"/>
      <c r="F2" s="1"/>
      <c r="G2" s="1">
        <f t="shared" ref="G2:J3" si="0">AVERAGE(G4,G6,G8,G10,G12,G14,G16,G18,G20,G22,G24,G26,G28,G30,G32,G34,G36,G38,G40,G42,G44,G46,G48,G50)</f>
        <v>2.1428571428571428</v>
      </c>
      <c r="H2" s="1">
        <f t="shared" si="0"/>
        <v>1.8628571428571428</v>
      </c>
      <c r="I2" s="1">
        <f t="shared" si="0"/>
        <v>17.642857142857142</v>
      </c>
      <c r="J2" s="1">
        <f t="shared" si="0"/>
        <v>7.2857142857142856</v>
      </c>
      <c r="K2" s="1">
        <f>IFERROR(SUM(J4,J6,J8,J10,J12,J14,J16,J18,J20,J22,J24,J26,J28,J30,J32,J34,J36,J38,J40,J42,J44,J46,J48,J50)/SUM(I4,I6,I8,I10,I12,I14,I16,I18,I20,I22,I24,I26,I28,I30,I32,I34,I36,I38,I40,I42,I44,I46,I48,I50)*100,0)</f>
        <v>41.295546558704451</v>
      </c>
      <c r="L2" s="1">
        <f>AVERAGE(L4,L6,L8,L10,L12,L14,L16,L18,L20,L22,L24,L26,L28,L30,L32,L34,L36,L38,L40,L42,L44,L46,L48,L50)</f>
        <v>445.57142857142856</v>
      </c>
      <c r="M2" s="1">
        <f>AVERAGE(M4,M6,M8,M10,M12,M14,M16,M18,M20,M22,M24,M26,M28,M30,M32,M34,M36,M38,M40,M42,M44,M46,M48,M50)</f>
        <v>332.85714285714283</v>
      </c>
      <c r="N2" s="1">
        <f>IFERROR(SUM(M4,M6,M8,M10,M12,M14,M16,M18,M20,M22,M24,M26,M28,M30,M32,M34,M36,M38,M40,M42,M44,M46,M48,M50)/SUM(L4,L6,L8,L10,L12,L14,L16,L18,L20,L22,L24,L26,L28,L30,L32,L34,L36,L38,L40,L42,L44,L46,L48,L50)*100,0)</f>
        <v>74.703430586726512</v>
      </c>
      <c r="O2" s="1">
        <f t="shared" ref="O2:Y2" si="1">AVERAGE(O4,O6,O8,O10,O12,O14,O16,O18,O20,O22,O24,O26,O28,O30,O32,O34,O36,O38,O40,O42,O44,O46,O48,O50)</f>
        <v>52.46857142857143</v>
      </c>
      <c r="P2" s="1">
        <f t="shared" si="1"/>
        <v>138.71428571428572</v>
      </c>
      <c r="Q2" s="1">
        <f t="shared" si="1"/>
        <v>16.071428571428573</v>
      </c>
      <c r="R2" s="1">
        <f t="shared" si="1"/>
        <v>48.071428571428569</v>
      </c>
      <c r="S2" s="1">
        <f t="shared" si="1"/>
        <v>74.571428571428569</v>
      </c>
      <c r="T2" s="1">
        <f t="shared" si="1"/>
        <v>101.57142857142857</v>
      </c>
      <c r="U2" s="1">
        <f t="shared" si="1"/>
        <v>34.214285714285715</v>
      </c>
      <c r="V2" s="1">
        <f t="shared" si="1"/>
        <v>45.714285714285715</v>
      </c>
      <c r="W2" s="1">
        <f t="shared" si="1"/>
        <v>21.642857142857142</v>
      </c>
      <c r="X2" s="1">
        <f t="shared" si="1"/>
        <v>202.35714285714286</v>
      </c>
      <c r="Y2" s="1">
        <f t="shared" si="1"/>
        <v>103.28571428571429</v>
      </c>
      <c r="Z2" s="1">
        <f>IFERROR(SUM(Y4,Y6,Y8,Y10,Y12,Y14,Y16,Y18,Y20,Y22,Y24,Y26,Y28,Y30,Y32,Y34,Y36,Y38,Y40,Y42,Y44,Y46,Y48,Y50)/SUM(X4,X6,X8,X10,X12,X14,X16,X18,X20,X22,X24,X26,X28,X30,X32,X34,X36,X38,X40,X42,X44,X46,X48,X50)*100,0)</f>
        <v>51.041298976350156</v>
      </c>
      <c r="AA2" s="1">
        <f>AVERAGE(AA4,AA6,AA8,AA10,AA12,AA14,AA16,AA18,AA20,AA22,AA24,AA26,AA28,AA30,AA32,AA34,AA36,AA38,AA40,AA42,AA44,AA46,AA48,AA50)</f>
        <v>7.6428571428571432</v>
      </c>
      <c r="AB2" s="1">
        <f>AVERAGE(AB4,AB6,AB8,AB10,AB12,AB14,AB16,AB18,AB20,AB22,AB24,AB26,AB28,AB30,AB32,AB34,AB36,AB38,AB40,AB42,AB44,AB46,AB48,AB50)</f>
        <v>3.0714285714285716</v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>40.186915887850468</v>
      </c>
      <c r="AD2" s="1">
        <f>AVERAGE(AD4,AD6,AD8,AD10,AD12,AD14,AD16,AD18,AD20,AD22,AD24,AD26,AD28,AD30,AD32,AD34,AD36,AD38,AD40,AD42,AD44,AD46,AD48,AD50)</f>
        <v>45.214285714285715</v>
      </c>
      <c r="AE2" s="1">
        <f>AVERAGE(AE4,AE6,AE8,AE10,AE12,AE14,AE16,AE18,AE20,AE22,AE24,AE26,AE28,AE30,AE32,AE34,AE36,AE38,AE40,AE42,AE44,AE46,AE48,AE50)</f>
        <v>13.571428571428571</v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>30.015797788309641</v>
      </c>
      <c r="AG2" s="1">
        <f>AVERAGE(AG4,AG6,AG8,AG10,AG12,AG14,AG16,AG18,AG20,AG22,AG24,AG26,AG28,AG30,AG32,AG34,AG36,AG38,AG40,AG42,AG44,AG46,AG48,AG50)</f>
        <v>17.214285714285715</v>
      </c>
      <c r="AH2" s="1">
        <f>AVERAGE(AH4,AH6,AH8,AH10,AH12,AH14,AH16,AH18,AH20,AH22,AH24,AH26,AH28,AH30,AH32,AH34,AH36,AH38,AH40,AH42,AH44,AH46,AH48,AH50)</f>
        <v>3.5</v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>20.331950207468878</v>
      </c>
      <c r="AJ2" s="1">
        <f>AVERAGE(AJ4,AJ6,AJ8,AJ10,AJ12,AJ14,AJ16,AJ18,AJ20,AJ22,AJ24,AJ26,AJ28,AJ30,AJ32,AJ34,AJ36,AJ38,AJ40,AJ42,AJ44,AJ46,AJ48,AJ50)</f>
        <v>6.0714285714285712</v>
      </c>
      <c r="AK2" s="1">
        <f>AVERAGE(AK4,AK6,AK8,AK10,AK12,AK14,AK16,AK18,AK20,AK22,AK24,AK26,AK28,AK30,AK32,AK34,AK36,AK38,AK40,AK42,AK44,AK46,AK48,AK50)</f>
        <v>2.1428571428571428</v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>35.294117647058826</v>
      </c>
      <c r="AM2" s="1">
        <f>AVERAGE(AM4,AM6,AM8,AM10,AM12,AM14,AM16,AM18,AM20,AM22,AM24,AM26,AM28,AM30,AM32,AM34,AM36,AM38,AM40,AM42,AM44,AM46,AM48,AM50)</f>
        <v>18.071428571428573</v>
      </c>
      <c r="AN2" s="1">
        <f>AVERAGE(AN4,AN6,AN8,AN10,AN12,AN14,AN16,AN18,AN20,AN22,AN24,AN26,AN28,AN30,AN32,AN34,AN36,AN38,AN40,AN42,AN44,AN46,AN48,AN50)</f>
        <v>4.7857142857142856</v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>26.48221343873518</v>
      </c>
      <c r="AP2" s="1">
        <f t="shared" ref="AP2:AT3" si="2">AVERAGE(AP4,AP6,AP8,AP10,AP12,AP14,AP16,AP18,AP20,AP22,AP24,AP26,AP28,AP30,AP32,AP34,AP36,AP38,AP40,AP42,AP44,AP46,AP48,AP50)</f>
        <v>5.4285714285714288</v>
      </c>
      <c r="AQ2" s="1">
        <f t="shared" si="2"/>
        <v>7.8571428571428568</v>
      </c>
      <c r="AR2" s="1">
        <f t="shared" si="2"/>
        <v>23</v>
      </c>
      <c r="AS2" s="1">
        <f t="shared" si="2"/>
        <v>76.285714285714292</v>
      </c>
      <c r="AT2" s="1">
        <f t="shared" si="2"/>
        <v>24.357142857142858</v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>31.928838951310862</v>
      </c>
      <c r="AV2" s="1">
        <f t="shared" ref="AV2:AX3" si="3">AVERAGE(AV4,AV6,AV8,AV10,AV12,AV14,AV16,AV18,AV20,AV22,AV24,AV26,AV28,AV30,AV32,AV34,AV36,AV38,AV40,AV42,AV44,AV46,AV48,AV50)</f>
        <v>0.21428571428571427</v>
      </c>
      <c r="AW2" s="1">
        <f t="shared" si="3"/>
        <v>6.7857142857142856</v>
      </c>
      <c r="AX2" s="1">
        <f t="shared" si="3"/>
        <v>2.4285714285714284</v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>35.789473684210527</v>
      </c>
      <c r="AZ2" s="1">
        <f>AVERAGE(AZ4,AZ6,AZ8,AZ10,AZ12,AZ14,AZ16,AZ18,AZ20,AZ22,AZ24,AZ26,AZ28,AZ30,AZ32,AZ34,AZ36,AZ38,AZ40,AZ42,AZ44,AZ46,AZ48,AZ50)</f>
        <v>84.071428571428569</v>
      </c>
      <c r="BA2" s="1">
        <f>AVERAGE(BA4,BA6,BA8,BA10,BA12,BA14,BA16,BA18,BA20,BA22,BA24,BA26,BA28,BA30,BA32,BA34,BA36,BA38,BA40,BA42,BA44,BA46,BA48,BA50)</f>
        <v>60.928571428571431</v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>72.472387425658454</v>
      </c>
      <c r="BC2" s="1">
        <f>AVERAGE(BC4,BC6,BC8,BC10,BC12,BC14,BC16,BC18,BC20,BC22,BC24,BC26,BC28,BC30,BC32,BC34,BC36,BC38,BC40,BC42,BC44,BC46,BC48,BC50)</f>
        <v>16.5</v>
      </c>
      <c r="BD2" s="1">
        <f>AVERAGE(BD4,BD6,BD8,BD10,BD12,BD14,BD16,BD18,BD20,BD22,BD24,BD26,BD28,BD30,BD32,BD34,BD36,BD38,BD40,BD42,BD44,BD46,BD48,BD50)</f>
        <v>6.6428571428571432</v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>40.259740259740262</v>
      </c>
      <c r="BF2" s="1">
        <f>AVERAGE(BF4,BF6,BF8,BF10,BF12,BF14,BF16,BF18,BF20,BF22,BF24,BF26,BF28,BF30,BF32,BF34,BF36,BF38,BF40,BF42,BF44,BF46,BF48,BF50)</f>
        <v>2</v>
      </c>
      <c r="BG2" s="1">
        <f>AVERAGE(BG4,BG6,BG8,BG10,BG12,BG14,BG16,BG18,BG20,BG22,BG24,BG26,BG28,BG30,BG32,BG34,BG36,BG38,BG40,BG42,BG44,BG46,BG48,BG50)</f>
        <v>1.0714285714285714</v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>53.571428571428569</v>
      </c>
      <c r="BI2" s="1">
        <f t="shared" ref="BI2:BO3" si="4">AVERAGE(BI4,BI6,BI8,BI10,BI12,BI14,BI16,BI18,BI20,BI22,BI24,BI26,BI28,BI30,BI32,BI34,BI36,BI38,BI40,BI42,BI44,BI46,BI48,BI50)</f>
        <v>49.142857142857146</v>
      </c>
      <c r="BJ2" s="1">
        <f t="shared" si="4"/>
        <v>14.857142857142858</v>
      </c>
      <c r="BK2" s="1">
        <f t="shared" si="4"/>
        <v>8.7142857142857135</v>
      </c>
      <c r="BL2" s="1">
        <f t="shared" si="4"/>
        <v>0.6428571428571429</v>
      </c>
      <c r="BM2" s="1">
        <f t="shared" si="4"/>
        <v>0</v>
      </c>
      <c r="BN2" s="1">
        <f t="shared" si="4"/>
        <v>171.07142857142858</v>
      </c>
      <c r="BO2" s="1">
        <f t="shared" si="4"/>
        <v>109.71428571428571</v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>64.133611691022963</v>
      </c>
      <c r="BQ2" s="1">
        <f>AVERAGE(BQ4,BQ6,BQ8,BQ10,BQ12,BQ14,BQ16,BQ18,BQ20,BQ22,BQ24,BQ26,BQ28,BQ30,BQ32,BQ34,BQ36,BQ38,BQ40,BQ42,BQ44,BQ46,BQ48,BQ50)</f>
        <v>56</v>
      </c>
      <c r="BR2" s="1">
        <f>AVERAGE(BR4,BR6,BR8,BR10,BR12,BR14,BR16,BR18,BR20,BR22,BR24,BR26,BR28,BR30,BR32,BR34,BR36,BR38,BR40,BR42,BR44,BR46,BR48,BR50)</f>
        <v>24.357142857142858</v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>43.494897959183675</v>
      </c>
      <c r="BT2" s="1">
        <f>AVERAGE(BT4,BT6,BT8,BT10,BT12,BT14,BT16,BT18,BT20,BT22,BT24,BT26,BT28,BT30,BT32,BT34,BT36,BT38,BT40,BT42,BT44,BT46,BT48,BT50)</f>
        <v>65.214285714285708</v>
      </c>
      <c r="BU2" s="1">
        <f>AVERAGE(BU4,BU6,BU8,BU10,BU12,BU14,BU16,BU18,BU20,BU22,BU24,BU26,BU28,BU30,BU32,BU34,BU36,BU38,BU40,BU42,BU44,BU46,BU48,BU50)</f>
        <v>36.571428571428569</v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>56.078860898138004</v>
      </c>
      <c r="BW2" s="1">
        <f>AVERAGE(BW4,BW6,BW8,BW10,BW12,BW14,BW16,BW18,BW20,BW22,BW24,BW26,BW28,BW30,BW32,BW34,BW36,BW38,BW40,BW42,BW44,BW46,BW48,BW50)</f>
        <v>85.071428571428569</v>
      </c>
      <c r="BX2" s="1">
        <f>AVERAGE(BX4,BX6,BX8,BX10,BX12,BX14,BX16,BX18,BX20,BX22,BX24,BX26,BX28,BX30,BX32,BX34,BX36,BX38,BX40,BX42,BX44,BX46,BX48,BX50)</f>
        <v>55.5</v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>65.239294710327457</v>
      </c>
      <c r="BZ2" s="1">
        <f>AVERAGE(BZ4,BZ6,BZ8,BZ10,BZ12,BZ14,BZ16,BZ18,BZ20,BZ22,BZ24,BZ26,BZ28,BZ30,BZ32,BZ34,BZ36,BZ38,BZ40,BZ42,BZ44,BZ46,BZ48,BZ50)</f>
        <v>33.071428571428569</v>
      </c>
      <c r="CA2" s="1">
        <f>AVERAGE(CA4,CA6,CA8,CA10,CA12,CA14,CA16,CA18,CA20,CA22,CA24,CA26,CA28,CA30,CA32,CA34,CA36,CA38,CA40,CA42,CA44,CA46,CA48,CA50)</f>
        <v>25.357142857142858</v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>76.673866090712735</v>
      </c>
      <c r="CC2" s="1">
        <f>AVERAGE(CC4,CC6,CC8,CC10,CC12,CC14,CC16,CC18,CC20,CC22,CC24,CC26,CC28,CC30,CC32,CC34,CC36,CC38,CC40,CC42,CC44,CC46,CC48,CC50)</f>
        <v>6.6814285714285715</v>
      </c>
    </row>
    <row r="3" spans="1:81" x14ac:dyDescent="0.15">
      <c r="A3" s="1" t="s">
        <v>40</v>
      </c>
      <c r="B3" s="1"/>
      <c r="C3" s="1"/>
      <c r="D3" s="1"/>
      <c r="E3" s="1"/>
      <c r="F3" s="1"/>
      <c r="G3" s="1">
        <f t="shared" si="0"/>
        <v>0.21428571428571427</v>
      </c>
      <c r="H3" s="1">
        <f t="shared" si="0"/>
        <v>0.50428571428571423</v>
      </c>
      <c r="I3" s="1">
        <f t="shared" si="0"/>
        <v>6.7857142857142856</v>
      </c>
      <c r="J3" s="1">
        <f t="shared" si="0"/>
        <v>2.2142857142857144</v>
      </c>
      <c r="K3" s="1">
        <f>IFERROR(SUM(J5,J7,J9,J11,J13,J15,J17,J19,J21,J23,J25,J27,J29,J31,J33,J35,J37,J39,J41,J43,J45,J47,J49,J51)/SUM(I5,I7,I9,I11,I13,I15,I17,I19,I21,I23,I25,I27,I29,I31,I33,I35,I37,I39,I41,I43,I45,I47,I49,I51)*100,0)</f>
        <v>32.631578947368425</v>
      </c>
      <c r="L3" s="1">
        <f>AVERAGE(L5,L7,L9,L11,L13,L15,L17,L19,L21,L23,L25,L27,L29,L31,L33,L35,L37,L39,L41,L43,L45,L47,L49,L51)</f>
        <v>369.5</v>
      </c>
      <c r="M3" s="1">
        <f>AVERAGE(M5,M7,M9,M11,M13,M15,M17,M19,M21,M23,M25,M27,M29,M31,M33,M35,M37,M39,M41,M43,M45,M47,M49,M51)</f>
        <v>259.78571428571428</v>
      </c>
      <c r="N3" s="1">
        <f>IFERROR(SUM(M5,M7,M9,M11,M13,M15,M17,M19,M21,M23,M25,M27,M29,M31,M33,M35,M37,M39,M41,M43,M45,M47,M49,M51)/SUM(L5,L7,L9,L11,L13,L15,L17,L19,L21,L23,L25,L27,L29,L31,L33,L35,L37,L39,L41,L43,L45,L47,L49,L51)*100,0)</f>
        <v>70.307365165281269</v>
      </c>
      <c r="O3" s="1">
        <f t="shared" ref="O3:Y3" si="5">AVERAGE(O5,O7,O9,O11,O13,O15,O17,O19,O21,O23,O25,O27,O29,O31,O33,O35,O37,O39,O41,O43,O45,O47,O49,O51)</f>
        <v>47.53142857142857</v>
      </c>
      <c r="P3" s="1">
        <f t="shared" si="5"/>
        <v>153.28571428571428</v>
      </c>
      <c r="Q3" s="1">
        <f t="shared" si="5"/>
        <v>34.857142857142854</v>
      </c>
      <c r="R3" s="1">
        <f t="shared" si="5"/>
        <v>65.142857142857139</v>
      </c>
      <c r="S3" s="1">
        <f t="shared" si="5"/>
        <v>53.285714285714285</v>
      </c>
      <c r="T3" s="1">
        <f t="shared" si="5"/>
        <v>90.071428571428569</v>
      </c>
      <c r="U3" s="1">
        <f t="shared" si="5"/>
        <v>45.785714285714285</v>
      </c>
      <c r="V3" s="1">
        <f t="shared" si="5"/>
        <v>33.928571428571431</v>
      </c>
      <c r="W3" s="1">
        <f t="shared" si="5"/>
        <v>10.357142857142858</v>
      </c>
      <c r="X3" s="1">
        <f t="shared" si="5"/>
        <v>202.35714285714286</v>
      </c>
      <c r="Y3" s="1">
        <f t="shared" si="5"/>
        <v>93.928571428571431</v>
      </c>
      <c r="Z3" s="1">
        <f>IFERROR(SUM(Y5,Y7,Y9,Y11,Y13,Y15,Y17,Y19,Y21,Y23,Y25,Y27,Y29,Y31,Y33,Y35,Y37,Y39,Y41,Y43,Y45,Y47,Y49,Y51)/SUM(X5,X7,X9,X11,X13,X15,X17,X19,X21,X23,X25,X27,X29,X31,X33,X35,X37,X39,X41,X43,X45,X47,X49,X51)*100,0)</f>
        <v>46.417225555947759</v>
      </c>
      <c r="AA3" s="1">
        <f>AVERAGE(AA5,AA7,AA9,AA11,AA13,AA15,AA17,AA19,AA21,AA23,AA25,AA27,AA29,AA31,AA33,AA35,AA37,AA39,AA41,AA43,AA45,AA47,AA49,AA51)</f>
        <v>3.7142857142857144</v>
      </c>
      <c r="AB3" s="1">
        <f>AVERAGE(AB5,AB7,AB9,AB11,AB13,AB15,AB17,AB19,AB21,AB23,AB25,AB27,AB29,AB31,AB33,AB35,AB37,AB39,AB41,AB43,AB45,AB47,AB49,AB51)</f>
        <v>1</v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>26.923076923076923</v>
      </c>
      <c r="AD3" s="1">
        <f>AVERAGE(AD5,AD7,AD9,AD11,AD13,AD15,AD17,AD19,AD21,AD23,AD25,AD27,AD29,AD31,AD33,AD35,AD37,AD39,AD41,AD43,AD45,AD47,AD49,AD51)</f>
        <v>24.142857142857142</v>
      </c>
      <c r="AE3" s="1">
        <f>AVERAGE(AE5,AE7,AE9,AE11,AE13,AE15,AE17,AE19,AE21,AE23,AE25,AE27,AE29,AE31,AE33,AE35,AE37,AE39,AE41,AE43,AE45,AE47,AE49,AE51)</f>
        <v>4.3571428571428568</v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>18.047337278106511</v>
      </c>
      <c r="AG3" s="1">
        <f>AVERAGE(AG5,AG7,AG9,AG11,AG13,AG15,AG17,AG19,AG21,AG23,AG25,AG27,AG29,AG31,AG33,AG35,AG37,AG39,AG41,AG43,AG45,AG47,AG49,AG51)</f>
        <v>28.071428571428573</v>
      </c>
      <c r="AH3" s="1">
        <f>AVERAGE(AH5,AH7,AH9,AH11,AH13,AH15,AH17,AH19,AH21,AH23,AH25,AH27,AH29,AH31,AH33,AH35,AH37,AH39,AH41,AH43,AH45,AH47,AH49,AH51)</f>
        <v>2.0714285714285716</v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>7.3791348600508897</v>
      </c>
      <c r="AJ3" s="1">
        <f>AVERAGE(AJ5,AJ7,AJ9,AJ11,AJ13,AJ15,AJ17,AJ19,AJ21,AJ23,AJ25,AJ27,AJ29,AJ31,AJ33,AJ35,AJ37,AJ39,AJ41,AJ43,AJ45,AJ47,AJ49,AJ51)</f>
        <v>3.2857142857142856</v>
      </c>
      <c r="AK3" s="1">
        <f>AVERAGE(AK5,AK7,AK9,AK11,AK13,AK15,AK17,AK19,AK21,AK23,AK25,AK27,AK29,AK31,AK33,AK35,AK37,AK39,AK41,AK43,AK45,AK47,AK49,AK51)</f>
        <v>0.9285714285714286</v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>28.260869565217391</v>
      </c>
      <c r="AM3" s="1">
        <f>AVERAGE(AM5,AM7,AM9,AM11,AM13,AM15,AM17,AM19,AM21,AM23,AM25,AM27,AM29,AM31,AM33,AM35,AM37,AM39,AM41,AM43,AM45,AM47,AM49,AM51)</f>
        <v>10.285714285714286</v>
      </c>
      <c r="AN3" s="1">
        <f>AVERAGE(AN5,AN7,AN9,AN11,AN13,AN15,AN17,AN19,AN21,AN23,AN25,AN27,AN29,AN31,AN33,AN35,AN37,AN39,AN41,AN43,AN45,AN47,AN49,AN51)</f>
        <v>2.8571428571428572</v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>27.777777777777779</v>
      </c>
      <c r="AP3" s="1">
        <f t="shared" si="2"/>
        <v>3.0714285714285716</v>
      </c>
      <c r="AQ3" s="1">
        <f t="shared" si="2"/>
        <v>2.5714285714285716</v>
      </c>
      <c r="AR3" s="1">
        <f t="shared" si="2"/>
        <v>8.3571428571428577</v>
      </c>
      <c r="AS3" s="1">
        <f t="shared" si="2"/>
        <v>84.071428571428569</v>
      </c>
      <c r="AT3" s="1">
        <f t="shared" si="2"/>
        <v>23.142857142857142</v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>27.527612574341546</v>
      </c>
      <c r="AV3" s="1">
        <f t="shared" si="3"/>
        <v>2.1428571428571428</v>
      </c>
      <c r="AW3" s="1">
        <f t="shared" si="3"/>
        <v>17.642857142857142</v>
      </c>
      <c r="AX3" s="1">
        <f t="shared" si="3"/>
        <v>7.9285714285714288</v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>44.939271255060731</v>
      </c>
      <c r="AZ3" s="1">
        <f>AVERAGE(AZ5,AZ7,AZ9,AZ11,AZ13,AZ15,AZ17,AZ19,AZ21,AZ23,AZ25,AZ27,AZ29,AZ31,AZ33,AZ35,AZ37,AZ39,AZ41,AZ43,AZ45,AZ47,AZ49,AZ51)</f>
        <v>76.285714285714292</v>
      </c>
      <c r="BA3" s="1">
        <f>AVERAGE(BA5,BA7,BA9,BA11,BA13,BA15,BA17,BA19,BA21,BA23,BA25,BA27,BA29,BA31,BA33,BA35,BA37,BA39,BA41,BA43,BA45,BA47,BA49,BA51)</f>
        <v>51.928571428571431</v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>68.071161048689149</v>
      </c>
      <c r="BC3" s="1">
        <f>AVERAGE(BC5,BC7,BC9,BC11,BC13,BC15,BC17,BC19,BC21,BC23,BC25,BC27,BC29,BC31,BC33,BC35,BC37,BC39,BC41,BC43,BC45,BC47,BC49,BC51)</f>
        <v>16.5</v>
      </c>
      <c r="BD3" s="1">
        <f>AVERAGE(BD5,BD7,BD9,BD11,BD13,BD15,BD17,BD19,BD21,BD23,BD25,BD27,BD29,BD31,BD33,BD35,BD37,BD39,BD41,BD43,BD45,BD47,BD49,BD51)</f>
        <v>8.0714285714285712</v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>48.917748917748916</v>
      </c>
      <c r="BF3" s="1">
        <f>AVERAGE(BF5,BF7,BF9,BF11,BF13,BF15,BF17,BF19,BF21,BF23,BF25,BF27,BF29,BF31,BF33,BF35,BF37,BF39,BF41,BF43,BF45,BF47,BF49,BF51)</f>
        <v>2.9285714285714284</v>
      </c>
      <c r="BG3" s="1">
        <f>AVERAGE(BG5,BG7,BG9,BG11,BG13,BG15,BG17,BG19,BG21,BG23,BG25,BG27,BG29,BG31,BG33,BG35,BG37,BG39,BG41,BG43,BG45,BG47,BG49,BG51)</f>
        <v>1.7857142857142858</v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>60.975609756097562</v>
      </c>
      <c r="BI3" s="1">
        <f t="shared" si="4"/>
        <v>47.642857142857146</v>
      </c>
      <c r="BJ3" s="1">
        <f t="shared" si="4"/>
        <v>18.642857142857142</v>
      </c>
      <c r="BK3" s="1">
        <f t="shared" si="4"/>
        <v>4.5</v>
      </c>
      <c r="BL3" s="1">
        <f t="shared" si="4"/>
        <v>0.8571428571428571</v>
      </c>
      <c r="BM3" s="1">
        <f t="shared" si="4"/>
        <v>0</v>
      </c>
      <c r="BN3" s="1">
        <f t="shared" si="4"/>
        <v>152.28571428571428</v>
      </c>
      <c r="BO3" s="1">
        <f t="shared" si="4"/>
        <v>88.142857142857139</v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>57.879924953095681</v>
      </c>
      <c r="BQ3" s="1">
        <f>AVERAGE(BQ5,BQ7,BQ9,BQ11,BQ13,BQ15,BQ17,BQ19,BQ21,BQ23,BQ25,BQ27,BQ29,BQ31,BQ33,BQ35,BQ37,BQ39,BQ41,BQ43,BQ45,BQ47,BQ49,BQ51)</f>
        <v>51.571428571428569</v>
      </c>
      <c r="BR3" s="1">
        <f>AVERAGE(BR5,BR7,BR9,BR11,BR13,BR15,BR17,BR19,BR21,BR23,BR25,BR27,BR29,BR31,BR33,BR35,BR37,BR39,BR41,BR43,BR45,BR47,BR49,BR51)</f>
        <v>21.642857142857142</v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>41.966759002770083</v>
      </c>
      <c r="BT3" s="1">
        <f>AVERAGE(BT5,BT7,BT9,BT11,BT13,BT15,BT17,BT19,BT21,BT23,BT25,BT27,BT29,BT31,BT33,BT35,BT37,BT39,BT41,BT43,BT45,BT47,BT49,BT51)</f>
        <v>44.214285714285715</v>
      </c>
      <c r="BU3" s="1">
        <f>AVERAGE(BU5,BU7,BU9,BU11,BU13,BU15,BU17,BU19,BU21,BU23,BU25,BU27,BU29,BU31,BU33,BU35,BU37,BU39,BU41,BU43,BU45,BU47,BU49,BU51)</f>
        <v>23</v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>52.019386106623585</v>
      </c>
      <c r="BW3" s="1">
        <f>AVERAGE(BW5,BW7,BW9,BW11,BW13,BW15,BW17,BW19,BW21,BW23,BW25,BW27,BW29,BW31,BW33,BW35,BW37,BW39,BW41,BW43,BW45,BW47,BW49,BW51)</f>
        <v>80.285714285714292</v>
      </c>
      <c r="BX3" s="1">
        <f>AVERAGE(BX5,BX7,BX9,BX11,BX13,BX15,BX17,BX19,BX21,BX23,BX25,BX27,BX29,BX31,BX33,BX35,BX37,BX39,BX41,BX43,BX45,BX47,BX49,BX51)</f>
        <v>35.928571428571431</v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>44.7508896797153</v>
      </c>
      <c r="BZ3" s="1">
        <f>AVERAGE(BZ5,BZ7,BZ9,BZ11,BZ13,BZ15,BZ17,BZ19,BZ21,BZ23,BZ25,BZ27,BZ29,BZ31,BZ33,BZ35,BZ37,BZ39,BZ41,BZ43,BZ45,BZ47,BZ49,BZ51)</f>
        <v>32.357142857142854</v>
      </c>
      <c r="CA3" s="1">
        <f>AVERAGE(CA5,CA7,CA9,CA11,CA13,CA15,CA17,CA19,CA21,CA23,CA25,CA27,CA29,CA31,CA33,CA35,CA37,CA39,CA41,CA43,CA45,CA47,CA49,CA51)</f>
        <v>23.928571428571427</v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>73.951434878587193</v>
      </c>
      <c r="CC3" s="1">
        <f>AVERAGE(CC5,CC7,CC9,CC11,CC13,CC15,CC17,CC19,CC21,CC23,CC25,CC27,CC29,CC31,CC33,CC35,CC37,CC39,CC41,CC43,CC45,CC47,CC49,CC51)</f>
        <v>21.506428571428575</v>
      </c>
    </row>
    <row r="4" spans="1:81" ht="12" customHeight="1" x14ac:dyDescent="0.15">
      <c r="A4" s="3" t="s">
        <v>41</v>
      </c>
      <c r="B4" s="3" t="s">
        <v>42</v>
      </c>
      <c r="C4" s="3" t="s">
        <v>43</v>
      </c>
      <c r="D4" s="3">
        <v>96</v>
      </c>
      <c r="E4" t="s">
        <v>39</v>
      </c>
      <c r="F4" t="s">
        <v>44</v>
      </c>
      <c r="G4">
        <v>1</v>
      </c>
      <c r="H4">
        <v>3.31</v>
      </c>
      <c r="I4">
        <v>19</v>
      </c>
      <c r="J4">
        <v>12</v>
      </c>
      <c r="K4">
        <v>63.16</v>
      </c>
      <c r="L4">
        <v>371</v>
      </c>
      <c r="M4">
        <v>238</v>
      </c>
      <c r="N4">
        <v>64.150000000000006</v>
      </c>
      <c r="O4">
        <v>47.81</v>
      </c>
      <c r="P4">
        <v>155</v>
      </c>
      <c r="Q4">
        <v>22</v>
      </c>
      <c r="R4">
        <v>72</v>
      </c>
      <c r="S4">
        <v>61</v>
      </c>
      <c r="T4">
        <v>88</v>
      </c>
      <c r="U4">
        <v>21</v>
      </c>
      <c r="V4">
        <v>53</v>
      </c>
      <c r="W4">
        <v>14</v>
      </c>
      <c r="X4">
        <v>212</v>
      </c>
      <c r="Y4">
        <v>97</v>
      </c>
      <c r="Z4">
        <v>45.75</v>
      </c>
      <c r="AA4">
        <v>4</v>
      </c>
      <c r="AB4">
        <v>3</v>
      </c>
      <c r="AC4">
        <v>75</v>
      </c>
      <c r="AD4">
        <v>39</v>
      </c>
      <c r="AE4">
        <v>15</v>
      </c>
      <c r="AF4">
        <v>38.46</v>
      </c>
      <c r="AG4">
        <v>22</v>
      </c>
      <c r="AH4">
        <v>4</v>
      </c>
      <c r="AI4">
        <v>18.18</v>
      </c>
      <c r="AJ4">
        <v>10</v>
      </c>
      <c r="AK4">
        <v>2</v>
      </c>
      <c r="AL4">
        <v>20</v>
      </c>
      <c r="AM4">
        <v>17</v>
      </c>
      <c r="AN4">
        <v>7</v>
      </c>
      <c r="AO4">
        <v>41.18</v>
      </c>
      <c r="AP4">
        <v>8</v>
      </c>
      <c r="AQ4">
        <v>8</v>
      </c>
      <c r="AR4">
        <v>25</v>
      </c>
      <c r="AS4">
        <v>65</v>
      </c>
      <c r="AT4">
        <v>14</v>
      </c>
      <c r="AU4">
        <v>21.54</v>
      </c>
      <c r="AV4">
        <v>0</v>
      </c>
      <c r="AW4">
        <v>5</v>
      </c>
      <c r="AX4">
        <v>2</v>
      </c>
      <c r="AY4">
        <v>40</v>
      </c>
      <c r="AZ4">
        <v>77</v>
      </c>
      <c r="BA4">
        <v>61</v>
      </c>
      <c r="BB4">
        <v>79.22</v>
      </c>
      <c r="BC4">
        <v>25</v>
      </c>
      <c r="BD4">
        <v>8</v>
      </c>
      <c r="BE4">
        <v>32</v>
      </c>
      <c r="BF4">
        <v>0</v>
      </c>
      <c r="BG4">
        <v>0</v>
      </c>
      <c r="BH4">
        <v>0</v>
      </c>
      <c r="BI4">
        <v>33</v>
      </c>
      <c r="BJ4">
        <v>12</v>
      </c>
      <c r="BK4">
        <v>9</v>
      </c>
      <c r="BL4">
        <v>1</v>
      </c>
      <c r="BM4">
        <v>0</v>
      </c>
      <c r="BN4">
        <v>164</v>
      </c>
      <c r="BO4">
        <v>89</v>
      </c>
      <c r="BP4">
        <v>54.27</v>
      </c>
      <c r="BQ4">
        <v>67</v>
      </c>
      <c r="BR4">
        <v>24</v>
      </c>
      <c r="BS4">
        <v>35.82</v>
      </c>
      <c r="BT4">
        <v>48</v>
      </c>
      <c r="BU4">
        <v>22</v>
      </c>
      <c r="BV4">
        <v>45.83</v>
      </c>
      <c r="BW4">
        <v>79</v>
      </c>
      <c r="BX4">
        <v>35</v>
      </c>
      <c r="BY4">
        <v>44.3</v>
      </c>
      <c r="BZ4">
        <v>51</v>
      </c>
      <c r="CA4">
        <v>26</v>
      </c>
      <c r="CB4">
        <v>50.98</v>
      </c>
      <c r="CC4">
        <v>7.29</v>
      </c>
    </row>
    <row r="5" spans="1:81" ht="12" customHeight="1" x14ac:dyDescent="0.15">
      <c r="A5" s="3"/>
      <c r="B5" s="3"/>
      <c r="C5" s="3"/>
      <c r="D5" s="3"/>
      <c r="E5" t="s">
        <v>45</v>
      </c>
      <c r="F5" t="s">
        <v>46</v>
      </c>
      <c r="G5">
        <v>0</v>
      </c>
      <c r="H5">
        <v>0.2</v>
      </c>
      <c r="I5">
        <v>5</v>
      </c>
      <c r="J5">
        <v>2</v>
      </c>
      <c r="K5">
        <v>40</v>
      </c>
      <c r="L5">
        <v>332</v>
      </c>
      <c r="M5">
        <v>226</v>
      </c>
      <c r="N5">
        <v>68.069999999999993</v>
      </c>
      <c r="O5">
        <v>52.19</v>
      </c>
      <c r="P5">
        <v>162</v>
      </c>
      <c r="Q5">
        <v>31</v>
      </c>
      <c r="R5">
        <v>86</v>
      </c>
      <c r="S5">
        <v>45</v>
      </c>
      <c r="T5">
        <v>96</v>
      </c>
      <c r="U5">
        <v>42</v>
      </c>
      <c r="V5">
        <v>38</v>
      </c>
      <c r="W5">
        <v>16</v>
      </c>
      <c r="X5">
        <v>212</v>
      </c>
      <c r="Y5">
        <v>94</v>
      </c>
      <c r="Z5">
        <v>44.34</v>
      </c>
      <c r="AA5">
        <v>1</v>
      </c>
      <c r="AB5">
        <v>0</v>
      </c>
      <c r="AC5">
        <v>0</v>
      </c>
      <c r="AD5">
        <v>22</v>
      </c>
      <c r="AE5">
        <v>3</v>
      </c>
      <c r="AF5">
        <v>13.64</v>
      </c>
      <c r="AG5">
        <v>24</v>
      </c>
      <c r="AH5">
        <v>2</v>
      </c>
      <c r="AI5">
        <v>8.33</v>
      </c>
      <c r="AJ5">
        <v>2</v>
      </c>
      <c r="AK5">
        <v>1</v>
      </c>
      <c r="AL5">
        <v>50</v>
      </c>
      <c r="AM5">
        <v>12</v>
      </c>
      <c r="AN5">
        <v>6</v>
      </c>
      <c r="AO5">
        <v>50</v>
      </c>
      <c r="AP5">
        <v>5</v>
      </c>
      <c r="AQ5">
        <v>4</v>
      </c>
      <c r="AR5">
        <v>9</v>
      </c>
      <c r="AS5">
        <v>77</v>
      </c>
      <c r="AT5">
        <v>16</v>
      </c>
      <c r="AU5">
        <v>20.78</v>
      </c>
      <c r="AV5">
        <v>1</v>
      </c>
      <c r="AW5">
        <v>19</v>
      </c>
      <c r="AX5">
        <v>12</v>
      </c>
      <c r="AY5">
        <v>63.16</v>
      </c>
      <c r="AZ5">
        <v>65</v>
      </c>
      <c r="BA5">
        <v>51</v>
      </c>
      <c r="BB5">
        <v>78.459999999999994</v>
      </c>
      <c r="BC5">
        <v>25</v>
      </c>
      <c r="BD5">
        <v>10</v>
      </c>
      <c r="BE5">
        <v>40</v>
      </c>
      <c r="BF5">
        <v>1</v>
      </c>
      <c r="BG5">
        <v>1</v>
      </c>
      <c r="BH5">
        <v>100</v>
      </c>
      <c r="BI5">
        <v>77</v>
      </c>
      <c r="BJ5">
        <v>38</v>
      </c>
      <c r="BK5">
        <v>4</v>
      </c>
      <c r="BL5">
        <v>1</v>
      </c>
      <c r="BM5">
        <v>0</v>
      </c>
      <c r="BN5">
        <v>142</v>
      </c>
      <c r="BO5">
        <v>83</v>
      </c>
      <c r="BP5">
        <v>58.45</v>
      </c>
      <c r="BQ5">
        <v>54</v>
      </c>
      <c r="BR5">
        <v>30</v>
      </c>
      <c r="BS5">
        <v>55.56</v>
      </c>
      <c r="BT5">
        <v>29</v>
      </c>
      <c r="BU5">
        <v>10</v>
      </c>
      <c r="BV5">
        <v>34.479999999999997</v>
      </c>
      <c r="BW5">
        <v>73</v>
      </c>
      <c r="BX5">
        <v>38</v>
      </c>
      <c r="BY5">
        <v>52.05</v>
      </c>
      <c r="BZ5">
        <v>42</v>
      </c>
      <c r="CA5">
        <v>32</v>
      </c>
      <c r="CB5">
        <v>76.19</v>
      </c>
      <c r="CC5">
        <v>6.41</v>
      </c>
    </row>
    <row r="6" spans="1:81" ht="12" customHeight="1" x14ac:dyDescent="0.15">
      <c r="A6" s="3" t="s">
        <v>47</v>
      </c>
      <c r="B6" s="3" t="s">
        <v>48</v>
      </c>
      <c r="C6" s="3" t="s">
        <v>43</v>
      </c>
      <c r="D6" s="3">
        <v>100</v>
      </c>
      <c r="E6" t="s">
        <v>39</v>
      </c>
      <c r="F6" t="s">
        <v>44</v>
      </c>
      <c r="G6">
        <v>2</v>
      </c>
      <c r="H6">
        <v>1.94</v>
      </c>
      <c r="I6">
        <v>14</v>
      </c>
      <c r="J6">
        <v>4</v>
      </c>
      <c r="K6">
        <v>28.57</v>
      </c>
      <c r="L6">
        <v>283</v>
      </c>
      <c r="M6">
        <v>181</v>
      </c>
      <c r="N6">
        <v>63.96</v>
      </c>
      <c r="O6">
        <v>37.32</v>
      </c>
      <c r="P6">
        <v>126</v>
      </c>
      <c r="Q6">
        <v>16</v>
      </c>
      <c r="R6">
        <v>48</v>
      </c>
      <c r="S6">
        <v>62</v>
      </c>
      <c r="T6">
        <v>87</v>
      </c>
      <c r="U6">
        <v>43</v>
      </c>
      <c r="V6">
        <v>30</v>
      </c>
      <c r="W6">
        <v>14</v>
      </c>
      <c r="X6">
        <v>236</v>
      </c>
      <c r="Y6">
        <v>124</v>
      </c>
      <c r="Z6">
        <v>52.54</v>
      </c>
      <c r="AA6">
        <v>4</v>
      </c>
      <c r="AB6">
        <v>1</v>
      </c>
      <c r="AC6">
        <v>25</v>
      </c>
      <c r="AD6">
        <v>35</v>
      </c>
      <c r="AE6">
        <v>7</v>
      </c>
      <c r="AF6">
        <v>20</v>
      </c>
      <c r="AG6">
        <v>17</v>
      </c>
      <c r="AH6">
        <v>7</v>
      </c>
      <c r="AI6">
        <v>41.18</v>
      </c>
      <c r="AJ6">
        <v>3</v>
      </c>
      <c r="AK6">
        <v>3</v>
      </c>
      <c r="AL6">
        <v>100</v>
      </c>
      <c r="AM6">
        <v>15</v>
      </c>
      <c r="AN6">
        <v>5</v>
      </c>
      <c r="AO6">
        <v>33.33</v>
      </c>
      <c r="AP6">
        <v>5</v>
      </c>
      <c r="AQ6">
        <v>2</v>
      </c>
      <c r="AR6">
        <v>21</v>
      </c>
      <c r="AS6">
        <v>85</v>
      </c>
      <c r="AT6">
        <v>32</v>
      </c>
      <c r="AU6">
        <v>37.65</v>
      </c>
      <c r="AV6">
        <v>1</v>
      </c>
      <c r="AW6">
        <v>8</v>
      </c>
      <c r="AX6">
        <v>3</v>
      </c>
      <c r="AY6">
        <v>37.5</v>
      </c>
      <c r="AZ6">
        <v>100</v>
      </c>
      <c r="BA6">
        <v>65</v>
      </c>
      <c r="BB6">
        <v>65</v>
      </c>
      <c r="BC6">
        <v>20</v>
      </c>
      <c r="BD6">
        <v>10</v>
      </c>
      <c r="BE6">
        <v>50</v>
      </c>
      <c r="BF6">
        <v>5</v>
      </c>
      <c r="BG6">
        <v>4</v>
      </c>
      <c r="BH6">
        <v>80</v>
      </c>
      <c r="BI6">
        <v>61</v>
      </c>
      <c r="BJ6">
        <v>24</v>
      </c>
      <c r="BK6">
        <v>9</v>
      </c>
      <c r="BL6">
        <v>0</v>
      </c>
      <c r="BM6">
        <v>0</v>
      </c>
      <c r="BN6">
        <v>127</v>
      </c>
      <c r="BO6">
        <v>72</v>
      </c>
      <c r="BP6">
        <v>56.69</v>
      </c>
      <c r="BQ6">
        <v>49</v>
      </c>
      <c r="BR6">
        <v>13</v>
      </c>
      <c r="BS6">
        <v>26.53</v>
      </c>
      <c r="BT6">
        <v>38</v>
      </c>
      <c r="BU6">
        <v>20</v>
      </c>
      <c r="BV6">
        <v>52.63</v>
      </c>
      <c r="BW6">
        <v>65</v>
      </c>
      <c r="BX6">
        <v>32</v>
      </c>
      <c r="BY6">
        <v>49.23</v>
      </c>
      <c r="BZ6">
        <v>31</v>
      </c>
      <c r="CA6">
        <v>28</v>
      </c>
      <c r="CB6">
        <v>90.32</v>
      </c>
      <c r="CC6">
        <v>8.6199999999999992</v>
      </c>
    </row>
    <row r="7" spans="1:81" ht="12" customHeight="1" x14ac:dyDescent="0.15">
      <c r="A7" s="3"/>
      <c r="B7" s="3"/>
      <c r="C7" s="3"/>
      <c r="D7" s="3"/>
      <c r="E7" t="s">
        <v>49</v>
      </c>
      <c r="F7" t="s">
        <v>50</v>
      </c>
      <c r="G7">
        <v>1</v>
      </c>
      <c r="H7">
        <v>1.21</v>
      </c>
      <c r="I7">
        <v>8</v>
      </c>
      <c r="J7">
        <v>2</v>
      </c>
      <c r="K7">
        <v>25</v>
      </c>
      <c r="L7">
        <v>463</v>
      </c>
      <c r="M7">
        <v>363</v>
      </c>
      <c r="N7">
        <v>78.400000000000006</v>
      </c>
      <c r="O7">
        <v>62.68</v>
      </c>
      <c r="P7">
        <v>134</v>
      </c>
      <c r="Q7">
        <v>25</v>
      </c>
      <c r="R7">
        <v>46</v>
      </c>
      <c r="S7">
        <v>63</v>
      </c>
      <c r="T7">
        <v>85</v>
      </c>
      <c r="U7">
        <v>35</v>
      </c>
      <c r="V7">
        <v>33</v>
      </c>
      <c r="W7">
        <v>17</v>
      </c>
      <c r="X7">
        <v>236</v>
      </c>
      <c r="Y7">
        <v>104</v>
      </c>
      <c r="Z7">
        <v>44.07</v>
      </c>
      <c r="AA7">
        <v>3</v>
      </c>
      <c r="AB7">
        <v>0</v>
      </c>
      <c r="AC7">
        <v>0</v>
      </c>
      <c r="AD7">
        <v>28</v>
      </c>
      <c r="AE7">
        <v>4</v>
      </c>
      <c r="AF7">
        <v>14.29</v>
      </c>
      <c r="AG7">
        <v>34</v>
      </c>
      <c r="AH7">
        <v>4</v>
      </c>
      <c r="AI7">
        <v>11.76</v>
      </c>
      <c r="AJ7">
        <v>9</v>
      </c>
      <c r="AK7">
        <v>3</v>
      </c>
      <c r="AL7">
        <v>33.33</v>
      </c>
      <c r="AM7">
        <v>17</v>
      </c>
      <c r="AN7">
        <v>7</v>
      </c>
      <c r="AO7">
        <v>41.18</v>
      </c>
      <c r="AP7">
        <v>7</v>
      </c>
      <c r="AQ7">
        <v>1</v>
      </c>
      <c r="AR7">
        <v>15</v>
      </c>
      <c r="AS7">
        <v>100</v>
      </c>
      <c r="AT7">
        <v>35</v>
      </c>
      <c r="AU7">
        <v>35</v>
      </c>
      <c r="AV7">
        <v>2</v>
      </c>
      <c r="AW7">
        <v>14</v>
      </c>
      <c r="AX7">
        <v>4</v>
      </c>
      <c r="AY7">
        <v>28.57</v>
      </c>
      <c r="AZ7">
        <v>85</v>
      </c>
      <c r="BA7">
        <v>53</v>
      </c>
      <c r="BB7">
        <v>62.35</v>
      </c>
      <c r="BC7">
        <v>20</v>
      </c>
      <c r="BD7">
        <v>6</v>
      </c>
      <c r="BE7">
        <v>30</v>
      </c>
      <c r="BF7">
        <v>7</v>
      </c>
      <c r="BG7">
        <v>3</v>
      </c>
      <c r="BH7">
        <v>42.86</v>
      </c>
      <c r="BI7">
        <v>35</v>
      </c>
      <c r="BJ7">
        <v>10</v>
      </c>
      <c r="BK7">
        <v>6</v>
      </c>
      <c r="BL7">
        <v>3</v>
      </c>
      <c r="BM7">
        <v>0</v>
      </c>
      <c r="BN7">
        <v>182</v>
      </c>
      <c r="BO7">
        <v>123</v>
      </c>
      <c r="BP7">
        <v>67.58</v>
      </c>
      <c r="BQ7">
        <v>29</v>
      </c>
      <c r="BR7">
        <v>15</v>
      </c>
      <c r="BS7">
        <v>51.72</v>
      </c>
      <c r="BT7">
        <v>62</v>
      </c>
      <c r="BU7">
        <v>42</v>
      </c>
      <c r="BV7">
        <v>67.739999999999995</v>
      </c>
      <c r="BW7">
        <v>96</v>
      </c>
      <c r="BX7">
        <v>61</v>
      </c>
      <c r="BY7">
        <v>63.54</v>
      </c>
      <c r="BZ7">
        <v>30</v>
      </c>
      <c r="CA7">
        <v>24</v>
      </c>
      <c r="CB7">
        <v>80</v>
      </c>
      <c r="CC7">
        <v>10.88</v>
      </c>
    </row>
    <row r="8" spans="1:81" ht="12" customHeight="1" x14ac:dyDescent="0.15">
      <c r="A8" s="3" t="s">
        <v>51</v>
      </c>
      <c r="B8" s="3" t="s">
        <v>52</v>
      </c>
      <c r="C8" s="3" t="s">
        <v>43</v>
      </c>
      <c r="D8" s="3">
        <v>91</v>
      </c>
      <c r="E8" t="s">
        <v>39</v>
      </c>
      <c r="F8" t="s">
        <v>53</v>
      </c>
      <c r="G8">
        <v>1</v>
      </c>
      <c r="H8">
        <v>0.66</v>
      </c>
      <c r="I8">
        <v>13</v>
      </c>
      <c r="J8">
        <v>6</v>
      </c>
      <c r="K8">
        <v>46.15</v>
      </c>
      <c r="L8">
        <v>366</v>
      </c>
      <c r="M8">
        <v>249</v>
      </c>
      <c r="N8">
        <v>68.03</v>
      </c>
      <c r="O8">
        <v>44.6</v>
      </c>
      <c r="P8">
        <v>136</v>
      </c>
      <c r="Q8">
        <v>15</v>
      </c>
      <c r="R8">
        <v>47</v>
      </c>
      <c r="S8">
        <v>74</v>
      </c>
      <c r="T8">
        <v>99</v>
      </c>
      <c r="U8">
        <v>32</v>
      </c>
      <c r="V8">
        <v>44</v>
      </c>
      <c r="W8">
        <v>23</v>
      </c>
      <c r="X8">
        <v>215</v>
      </c>
      <c r="Y8">
        <v>100</v>
      </c>
      <c r="Z8">
        <v>46.51</v>
      </c>
      <c r="AA8">
        <v>6</v>
      </c>
      <c r="AB8">
        <v>3</v>
      </c>
      <c r="AC8">
        <v>50</v>
      </c>
      <c r="AD8">
        <v>43</v>
      </c>
      <c r="AE8">
        <v>10</v>
      </c>
      <c r="AF8">
        <v>23.26</v>
      </c>
      <c r="AG8">
        <v>15</v>
      </c>
      <c r="AH8">
        <v>2</v>
      </c>
      <c r="AI8">
        <v>13.33</v>
      </c>
      <c r="AJ8">
        <v>4</v>
      </c>
      <c r="AK8">
        <v>2</v>
      </c>
      <c r="AL8">
        <v>50</v>
      </c>
      <c r="AM8">
        <v>15</v>
      </c>
      <c r="AN8">
        <v>2</v>
      </c>
      <c r="AO8">
        <v>13.33</v>
      </c>
      <c r="AP8">
        <v>4</v>
      </c>
      <c r="AQ8">
        <v>6</v>
      </c>
      <c r="AR8">
        <v>16</v>
      </c>
      <c r="AS8">
        <v>97</v>
      </c>
      <c r="AT8">
        <v>24</v>
      </c>
      <c r="AU8">
        <v>24.74</v>
      </c>
      <c r="AV8">
        <v>0</v>
      </c>
      <c r="AW8">
        <v>8</v>
      </c>
      <c r="AX8">
        <v>4</v>
      </c>
      <c r="AY8">
        <v>50</v>
      </c>
      <c r="AZ8">
        <v>74</v>
      </c>
      <c r="BA8">
        <v>57</v>
      </c>
      <c r="BB8">
        <v>77.03</v>
      </c>
      <c r="BC8">
        <v>18</v>
      </c>
      <c r="BD8">
        <v>4</v>
      </c>
      <c r="BE8">
        <v>22.22</v>
      </c>
      <c r="BF8">
        <v>1</v>
      </c>
      <c r="BG8">
        <v>1</v>
      </c>
      <c r="BH8">
        <v>100</v>
      </c>
      <c r="BI8">
        <v>53</v>
      </c>
      <c r="BJ8">
        <v>12</v>
      </c>
      <c r="BK8">
        <v>9</v>
      </c>
      <c r="BL8">
        <v>1</v>
      </c>
      <c r="BM8">
        <v>0</v>
      </c>
      <c r="BN8">
        <v>164</v>
      </c>
      <c r="BO8">
        <v>92</v>
      </c>
      <c r="BP8">
        <v>56.1</v>
      </c>
      <c r="BQ8">
        <v>60</v>
      </c>
      <c r="BR8">
        <v>32</v>
      </c>
      <c r="BS8">
        <v>53.33</v>
      </c>
      <c r="BT8">
        <v>57</v>
      </c>
      <c r="BU8">
        <v>29</v>
      </c>
      <c r="BV8">
        <v>50.88</v>
      </c>
      <c r="BW8">
        <v>84</v>
      </c>
      <c r="BX8">
        <v>45</v>
      </c>
      <c r="BY8">
        <v>53.57</v>
      </c>
      <c r="BZ8">
        <v>39</v>
      </c>
      <c r="CA8">
        <v>31</v>
      </c>
      <c r="CB8">
        <v>79.489999999999995</v>
      </c>
      <c r="CC8">
        <v>6.69</v>
      </c>
    </row>
    <row r="9" spans="1:81" ht="12" customHeight="1" x14ac:dyDescent="0.15">
      <c r="A9" s="3"/>
      <c r="B9" s="3"/>
      <c r="C9" s="3"/>
      <c r="D9" s="3"/>
      <c r="E9" t="s">
        <v>54</v>
      </c>
      <c r="F9" t="s">
        <v>55</v>
      </c>
      <c r="G9">
        <v>0</v>
      </c>
      <c r="H9">
        <v>0.93</v>
      </c>
      <c r="I9">
        <v>8</v>
      </c>
      <c r="J9">
        <v>4</v>
      </c>
      <c r="K9">
        <v>50</v>
      </c>
      <c r="L9">
        <v>416</v>
      </c>
      <c r="M9">
        <v>295</v>
      </c>
      <c r="N9">
        <v>70.91</v>
      </c>
      <c r="O9">
        <v>55.4</v>
      </c>
      <c r="P9">
        <v>164</v>
      </c>
      <c r="Q9">
        <v>36</v>
      </c>
      <c r="R9">
        <v>72</v>
      </c>
      <c r="S9">
        <v>56</v>
      </c>
      <c r="T9">
        <v>99</v>
      </c>
      <c r="U9">
        <v>47</v>
      </c>
      <c r="V9">
        <v>35</v>
      </c>
      <c r="W9">
        <v>17</v>
      </c>
      <c r="X9">
        <v>215</v>
      </c>
      <c r="Y9">
        <v>110</v>
      </c>
      <c r="Z9">
        <v>51.16</v>
      </c>
      <c r="AA9">
        <v>3</v>
      </c>
      <c r="AB9">
        <v>1</v>
      </c>
      <c r="AC9">
        <v>33.33</v>
      </c>
      <c r="AD9">
        <v>29</v>
      </c>
      <c r="AE9">
        <v>7</v>
      </c>
      <c r="AF9">
        <v>24.14</v>
      </c>
      <c r="AG9">
        <v>25</v>
      </c>
      <c r="AH9">
        <v>1</v>
      </c>
      <c r="AI9">
        <v>4</v>
      </c>
      <c r="AJ9">
        <v>1</v>
      </c>
      <c r="AK9">
        <v>0</v>
      </c>
      <c r="AL9">
        <v>0</v>
      </c>
      <c r="AM9">
        <v>12</v>
      </c>
      <c r="AN9">
        <v>5</v>
      </c>
      <c r="AO9">
        <v>41.67</v>
      </c>
      <c r="AP9">
        <v>7</v>
      </c>
      <c r="AQ9">
        <v>6</v>
      </c>
      <c r="AR9">
        <v>14</v>
      </c>
      <c r="AS9">
        <v>74</v>
      </c>
      <c r="AT9">
        <v>17</v>
      </c>
      <c r="AU9">
        <v>22.97</v>
      </c>
      <c r="AV9">
        <v>1</v>
      </c>
      <c r="AW9">
        <v>13</v>
      </c>
      <c r="AX9">
        <v>6</v>
      </c>
      <c r="AY9">
        <v>46.15</v>
      </c>
      <c r="AZ9">
        <v>97</v>
      </c>
      <c r="BA9">
        <v>73</v>
      </c>
      <c r="BB9">
        <v>75.260000000000005</v>
      </c>
      <c r="BC9">
        <v>18</v>
      </c>
      <c r="BD9">
        <v>13</v>
      </c>
      <c r="BE9">
        <v>72.22</v>
      </c>
      <c r="BF9">
        <v>2</v>
      </c>
      <c r="BG9">
        <v>1</v>
      </c>
      <c r="BH9">
        <v>50</v>
      </c>
      <c r="BI9">
        <v>39</v>
      </c>
      <c r="BJ9">
        <v>18</v>
      </c>
      <c r="BK9">
        <v>2</v>
      </c>
      <c r="BL9">
        <v>1</v>
      </c>
      <c r="BM9">
        <v>0</v>
      </c>
      <c r="BN9">
        <v>167</v>
      </c>
      <c r="BO9">
        <v>96</v>
      </c>
      <c r="BP9">
        <v>57.49</v>
      </c>
      <c r="BQ9">
        <v>63</v>
      </c>
      <c r="BR9">
        <v>21</v>
      </c>
      <c r="BS9">
        <v>33.33</v>
      </c>
      <c r="BT9">
        <v>47</v>
      </c>
      <c r="BU9">
        <v>23</v>
      </c>
      <c r="BV9">
        <v>48.94</v>
      </c>
      <c r="BW9">
        <v>87</v>
      </c>
      <c r="BX9">
        <v>35</v>
      </c>
      <c r="BY9">
        <v>40.229999999999997</v>
      </c>
      <c r="BZ9">
        <v>41</v>
      </c>
      <c r="CA9">
        <v>34</v>
      </c>
      <c r="CB9">
        <v>82.93</v>
      </c>
      <c r="CC9">
        <v>14.71</v>
      </c>
    </row>
    <row r="10" spans="1:81" ht="12" customHeight="1" x14ac:dyDescent="0.15">
      <c r="A10" s="3" t="s">
        <v>56</v>
      </c>
      <c r="B10" s="3" t="s">
        <v>57</v>
      </c>
      <c r="C10" s="3" t="s">
        <v>43</v>
      </c>
      <c r="D10" s="3">
        <v>95</v>
      </c>
      <c r="E10" t="s">
        <v>39</v>
      </c>
      <c r="F10" t="s">
        <v>44</v>
      </c>
      <c r="G10">
        <v>3</v>
      </c>
      <c r="H10">
        <v>2.37</v>
      </c>
      <c r="I10">
        <v>23</v>
      </c>
      <c r="J10">
        <v>7</v>
      </c>
      <c r="K10">
        <v>30.43</v>
      </c>
      <c r="L10">
        <v>613</v>
      </c>
      <c r="M10">
        <v>489</v>
      </c>
      <c r="N10">
        <v>79.77</v>
      </c>
      <c r="O10">
        <v>59.23</v>
      </c>
      <c r="P10">
        <v>160</v>
      </c>
      <c r="Q10">
        <v>10</v>
      </c>
      <c r="R10">
        <v>55</v>
      </c>
      <c r="S10">
        <v>95</v>
      </c>
      <c r="T10">
        <v>106</v>
      </c>
      <c r="U10">
        <v>30</v>
      </c>
      <c r="V10">
        <v>55</v>
      </c>
      <c r="W10">
        <v>21</v>
      </c>
      <c r="X10">
        <v>170</v>
      </c>
      <c r="Y10">
        <v>79</v>
      </c>
      <c r="Z10">
        <v>46.47</v>
      </c>
      <c r="AA10">
        <v>8</v>
      </c>
      <c r="AB10">
        <v>2</v>
      </c>
      <c r="AC10">
        <v>25</v>
      </c>
      <c r="AD10">
        <v>45</v>
      </c>
      <c r="AE10">
        <v>16</v>
      </c>
      <c r="AF10">
        <v>35.56</v>
      </c>
      <c r="AG10">
        <v>16</v>
      </c>
      <c r="AH10">
        <v>7</v>
      </c>
      <c r="AI10">
        <v>43.75</v>
      </c>
      <c r="AJ10">
        <v>6</v>
      </c>
      <c r="AK10">
        <v>5</v>
      </c>
      <c r="AL10">
        <v>83.33</v>
      </c>
      <c r="AM10">
        <v>18</v>
      </c>
      <c r="AN10">
        <v>3</v>
      </c>
      <c r="AO10">
        <v>16.670000000000002</v>
      </c>
      <c r="AP10">
        <v>3</v>
      </c>
      <c r="AQ10">
        <v>8</v>
      </c>
      <c r="AR10">
        <v>28</v>
      </c>
      <c r="AS10">
        <v>69</v>
      </c>
      <c r="AT10">
        <v>23</v>
      </c>
      <c r="AU10">
        <v>33.33</v>
      </c>
      <c r="AV10">
        <v>0</v>
      </c>
      <c r="AW10">
        <v>7</v>
      </c>
      <c r="AX10">
        <v>2</v>
      </c>
      <c r="AY10">
        <v>28.57</v>
      </c>
      <c r="AZ10">
        <v>80</v>
      </c>
      <c r="BA10">
        <v>50</v>
      </c>
      <c r="BB10">
        <v>62.5</v>
      </c>
      <c r="BC10">
        <v>8</v>
      </c>
      <c r="BD10">
        <v>0</v>
      </c>
      <c r="BE10">
        <v>0</v>
      </c>
      <c r="BF10">
        <v>6</v>
      </c>
      <c r="BG10">
        <v>2</v>
      </c>
      <c r="BH10">
        <v>33.33</v>
      </c>
      <c r="BI10">
        <v>45</v>
      </c>
      <c r="BJ10">
        <v>9</v>
      </c>
      <c r="BK10">
        <v>14</v>
      </c>
      <c r="BL10">
        <v>1</v>
      </c>
      <c r="BM10">
        <v>0</v>
      </c>
      <c r="BN10">
        <v>201</v>
      </c>
      <c r="BO10">
        <v>127</v>
      </c>
      <c r="BP10">
        <v>63.18</v>
      </c>
      <c r="BQ10">
        <v>71</v>
      </c>
      <c r="BR10">
        <v>27</v>
      </c>
      <c r="BS10">
        <v>38.03</v>
      </c>
      <c r="BT10">
        <v>81</v>
      </c>
      <c r="BU10">
        <v>35</v>
      </c>
      <c r="BV10">
        <v>43.21</v>
      </c>
      <c r="BW10">
        <v>81</v>
      </c>
      <c r="BX10">
        <v>57</v>
      </c>
      <c r="BY10">
        <v>70.37</v>
      </c>
      <c r="BZ10">
        <v>28</v>
      </c>
      <c r="CA10">
        <v>18</v>
      </c>
      <c r="CB10">
        <v>64.290000000000006</v>
      </c>
      <c r="CC10">
        <v>5.17</v>
      </c>
    </row>
    <row r="11" spans="1:81" ht="12" customHeight="1" x14ac:dyDescent="0.15">
      <c r="A11" s="3"/>
      <c r="B11" s="3"/>
      <c r="C11" s="3"/>
      <c r="D11" s="3"/>
      <c r="E11" t="s">
        <v>58</v>
      </c>
      <c r="F11" t="s">
        <v>50</v>
      </c>
      <c r="G11">
        <v>0</v>
      </c>
      <c r="H11">
        <v>0.45</v>
      </c>
      <c r="I11">
        <v>7</v>
      </c>
      <c r="J11">
        <v>2</v>
      </c>
      <c r="K11">
        <v>28.57</v>
      </c>
      <c r="L11">
        <v>401</v>
      </c>
      <c r="M11">
        <v>277</v>
      </c>
      <c r="N11">
        <v>69.08</v>
      </c>
      <c r="O11">
        <v>40.770000000000003</v>
      </c>
      <c r="P11">
        <v>172</v>
      </c>
      <c r="Q11">
        <v>47</v>
      </c>
      <c r="R11">
        <v>74</v>
      </c>
      <c r="S11">
        <v>51</v>
      </c>
      <c r="T11">
        <v>106</v>
      </c>
      <c r="U11">
        <v>59</v>
      </c>
      <c r="V11">
        <v>42</v>
      </c>
      <c r="W11">
        <v>5</v>
      </c>
      <c r="X11">
        <v>170</v>
      </c>
      <c r="Y11">
        <v>89</v>
      </c>
      <c r="Z11">
        <v>52.35</v>
      </c>
      <c r="AA11">
        <v>3</v>
      </c>
      <c r="AB11">
        <v>2</v>
      </c>
      <c r="AC11">
        <v>66.67</v>
      </c>
      <c r="AD11">
        <v>24</v>
      </c>
      <c r="AE11">
        <v>6</v>
      </c>
      <c r="AF11">
        <v>25</v>
      </c>
      <c r="AG11">
        <v>27</v>
      </c>
      <c r="AH11">
        <v>1</v>
      </c>
      <c r="AI11">
        <v>3.7</v>
      </c>
      <c r="AJ11">
        <v>2</v>
      </c>
      <c r="AK11">
        <v>1</v>
      </c>
      <c r="AL11">
        <v>50</v>
      </c>
      <c r="AM11">
        <v>6</v>
      </c>
      <c r="AN11">
        <v>2</v>
      </c>
      <c r="AO11">
        <v>33.33</v>
      </c>
      <c r="AP11">
        <v>2</v>
      </c>
      <c r="AQ11">
        <v>1</v>
      </c>
      <c r="AR11">
        <v>6</v>
      </c>
      <c r="AS11">
        <v>80</v>
      </c>
      <c r="AT11">
        <v>30</v>
      </c>
      <c r="AU11">
        <v>37.5</v>
      </c>
      <c r="AV11">
        <v>3</v>
      </c>
      <c r="AW11">
        <v>23</v>
      </c>
      <c r="AX11">
        <v>7</v>
      </c>
      <c r="AY11">
        <v>30.43</v>
      </c>
      <c r="AZ11">
        <v>69</v>
      </c>
      <c r="BA11">
        <v>46</v>
      </c>
      <c r="BB11">
        <v>66.67</v>
      </c>
      <c r="BC11">
        <v>8</v>
      </c>
      <c r="BD11">
        <v>7</v>
      </c>
      <c r="BE11">
        <v>87.5</v>
      </c>
      <c r="BF11">
        <v>6</v>
      </c>
      <c r="BG11">
        <v>6</v>
      </c>
      <c r="BH11">
        <v>100</v>
      </c>
      <c r="BI11">
        <v>38</v>
      </c>
      <c r="BJ11">
        <v>18</v>
      </c>
      <c r="BK11">
        <v>2</v>
      </c>
      <c r="BL11">
        <v>0</v>
      </c>
      <c r="BM11">
        <v>0</v>
      </c>
      <c r="BN11">
        <v>176</v>
      </c>
      <c r="BO11">
        <v>103</v>
      </c>
      <c r="BP11">
        <v>58.52</v>
      </c>
      <c r="BQ11">
        <v>55</v>
      </c>
      <c r="BR11">
        <v>18</v>
      </c>
      <c r="BS11">
        <v>32.729999999999997</v>
      </c>
      <c r="BT11">
        <v>49</v>
      </c>
      <c r="BU11">
        <v>21</v>
      </c>
      <c r="BV11">
        <v>42.86</v>
      </c>
      <c r="BW11">
        <v>96</v>
      </c>
      <c r="BX11">
        <v>35</v>
      </c>
      <c r="BY11">
        <v>36.46</v>
      </c>
      <c r="BZ11">
        <v>23</v>
      </c>
      <c r="CA11">
        <v>17</v>
      </c>
      <c r="CB11">
        <v>73.91</v>
      </c>
      <c r="CC11">
        <v>26.67</v>
      </c>
    </row>
    <row r="12" spans="1:81" ht="12" customHeight="1" x14ac:dyDescent="0.15">
      <c r="A12" s="3" t="s">
        <v>59</v>
      </c>
      <c r="B12" s="3" t="s">
        <v>60</v>
      </c>
      <c r="C12" s="3" t="s">
        <v>43</v>
      </c>
      <c r="D12" s="3">
        <v>94</v>
      </c>
      <c r="E12" t="s">
        <v>39</v>
      </c>
      <c r="F12" t="s">
        <v>50</v>
      </c>
      <c r="G12">
        <v>3</v>
      </c>
      <c r="H12">
        <v>4.37</v>
      </c>
      <c r="I12">
        <v>31</v>
      </c>
      <c r="J12">
        <v>6</v>
      </c>
      <c r="K12">
        <v>19.350000000000001</v>
      </c>
      <c r="L12">
        <v>559</v>
      </c>
      <c r="M12">
        <v>467</v>
      </c>
      <c r="N12">
        <v>83.54</v>
      </c>
      <c r="O12">
        <v>62.54</v>
      </c>
      <c r="P12">
        <v>108</v>
      </c>
      <c r="Q12">
        <v>1</v>
      </c>
      <c r="R12">
        <v>13</v>
      </c>
      <c r="S12">
        <v>94</v>
      </c>
      <c r="T12">
        <v>91</v>
      </c>
      <c r="U12">
        <v>8</v>
      </c>
      <c r="V12">
        <v>38</v>
      </c>
      <c r="W12">
        <v>45</v>
      </c>
      <c r="X12">
        <v>179</v>
      </c>
      <c r="Y12">
        <v>84</v>
      </c>
      <c r="Z12">
        <v>46.93</v>
      </c>
      <c r="AA12">
        <v>12</v>
      </c>
      <c r="AB12">
        <v>2</v>
      </c>
      <c r="AC12">
        <v>16.670000000000002</v>
      </c>
      <c r="AD12">
        <v>78</v>
      </c>
      <c r="AE12">
        <v>27</v>
      </c>
      <c r="AF12">
        <v>34.619999999999997</v>
      </c>
      <c r="AG12">
        <v>13</v>
      </c>
      <c r="AH12">
        <v>3</v>
      </c>
      <c r="AI12">
        <v>23.08</v>
      </c>
      <c r="AJ12">
        <v>8</v>
      </c>
      <c r="AK12">
        <v>3</v>
      </c>
      <c r="AL12">
        <v>37.5</v>
      </c>
      <c r="AM12">
        <v>29</v>
      </c>
      <c r="AN12">
        <v>7</v>
      </c>
      <c r="AO12">
        <v>24.14</v>
      </c>
      <c r="AP12">
        <v>11</v>
      </c>
      <c r="AQ12">
        <v>31</v>
      </c>
      <c r="AR12">
        <v>58</v>
      </c>
      <c r="AS12">
        <v>81</v>
      </c>
      <c r="AT12">
        <v>23</v>
      </c>
      <c r="AU12">
        <v>28.4</v>
      </c>
      <c r="AV12">
        <v>0</v>
      </c>
      <c r="AW12">
        <v>0</v>
      </c>
      <c r="AX12">
        <v>0</v>
      </c>
      <c r="AY12">
        <v>0</v>
      </c>
      <c r="AZ12">
        <v>67</v>
      </c>
      <c r="BA12">
        <v>47</v>
      </c>
      <c r="BB12">
        <v>70.150000000000006</v>
      </c>
      <c r="BC12">
        <v>7</v>
      </c>
      <c r="BD12">
        <v>4</v>
      </c>
      <c r="BE12">
        <v>57.14</v>
      </c>
      <c r="BF12">
        <v>1</v>
      </c>
      <c r="BG12">
        <v>0</v>
      </c>
      <c r="BH12">
        <v>0</v>
      </c>
      <c r="BI12">
        <v>23</v>
      </c>
      <c r="BJ12">
        <v>2</v>
      </c>
      <c r="BK12">
        <v>13</v>
      </c>
      <c r="BL12">
        <v>0</v>
      </c>
      <c r="BM12">
        <v>0</v>
      </c>
      <c r="BN12">
        <v>187</v>
      </c>
      <c r="BO12">
        <v>148</v>
      </c>
      <c r="BP12">
        <v>79.14</v>
      </c>
      <c r="BQ12">
        <v>40</v>
      </c>
      <c r="BR12">
        <v>26</v>
      </c>
      <c r="BS12">
        <v>65</v>
      </c>
      <c r="BT12">
        <v>95</v>
      </c>
      <c r="BU12">
        <v>74</v>
      </c>
      <c r="BV12">
        <v>77.89</v>
      </c>
      <c r="BW12">
        <v>110</v>
      </c>
      <c r="BX12">
        <v>101</v>
      </c>
      <c r="BY12">
        <v>91.82</v>
      </c>
      <c r="BZ12">
        <v>31</v>
      </c>
      <c r="CA12">
        <v>29</v>
      </c>
      <c r="CB12">
        <v>93.55</v>
      </c>
      <c r="CC12">
        <v>5.51</v>
      </c>
    </row>
    <row r="13" spans="1:81" ht="12" customHeight="1" x14ac:dyDescent="0.15">
      <c r="A13" s="3"/>
      <c r="B13" s="3"/>
      <c r="C13" s="3"/>
      <c r="D13" s="3"/>
      <c r="E13" t="s">
        <v>61</v>
      </c>
      <c r="F13" t="s">
        <v>62</v>
      </c>
      <c r="G13">
        <v>0</v>
      </c>
      <c r="H13">
        <v>0</v>
      </c>
      <c r="I13">
        <v>0</v>
      </c>
      <c r="J13">
        <v>0</v>
      </c>
      <c r="K13">
        <v>0</v>
      </c>
      <c r="L13">
        <v>284</v>
      </c>
      <c r="M13">
        <v>178</v>
      </c>
      <c r="N13">
        <v>62.68</v>
      </c>
      <c r="O13">
        <v>37.46</v>
      </c>
      <c r="P13">
        <v>140</v>
      </c>
      <c r="Q13">
        <v>63</v>
      </c>
      <c r="R13">
        <v>61</v>
      </c>
      <c r="S13">
        <v>16</v>
      </c>
      <c r="T13">
        <v>75</v>
      </c>
      <c r="U13">
        <v>68</v>
      </c>
      <c r="V13">
        <v>6</v>
      </c>
      <c r="W13">
        <v>1</v>
      </c>
      <c r="X13">
        <v>179</v>
      </c>
      <c r="Y13">
        <v>93</v>
      </c>
      <c r="Z13">
        <v>51.96</v>
      </c>
      <c r="AA13">
        <v>0</v>
      </c>
      <c r="AB13">
        <v>0</v>
      </c>
      <c r="AC13">
        <v>0</v>
      </c>
      <c r="AD13">
        <v>2</v>
      </c>
      <c r="AE13">
        <v>0</v>
      </c>
      <c r="AF13">
        <v>0</v>
      </c>
      <c r="AG13">
        <v>42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0</v>
      </c>
      <c r="AP13">
        <v>0</v>
      </c>
      <c r="AQ13">
        <v>0</v>
      </c>
      <c r="AR13">
        <v>1</v>
      </c>
      <c r="AS13">
        <v>67</v>
      </c>
      <c r="AT13">
        <v>20</v>
      </c>
      <c r="AU13">
        <v>29.85</v>
      </c>
      <c r="AV13">
        <v>3</v>
      </c>
      <c r="AW13">
        <v>31</v>
      </c>
      <c r="AX13">
        <v>9</v>
      </c>
      <c r="AY13">
        <v>29.03</v>
      </c>
      <c r="AZ13">
        <v>81</v>
      </c>
      <c r="BA13">
        <v>58</v>
      </c>
      <c r="BB13">
        <v>71.599999999999994</v>
      </c>
      <c r="BC13">
        <v>7</v>
      </c>
      <c r="BD13">
        <v>2</v>
      </c>
      <c r="BE13">
        <v>28.57</v>
      </c>
      <c r="BF13">
        <v>2</v>
      </c>
      <c r="BG13">
        <v>0</v>
      </c>
      <c r="BH13">
        <v>0</v>
      </c>
      <c r="BI13">
        <v>49</v>
      </c>
      <c r="BJ13">
        <v>12</v>
      </c>
      <c r="BK13">
        <v>4</v>
      </c>
      <c r="BL13">
        <v>0</v>
      </c>
      <c r="BM13">
        <v>0</v>
      </c>
      <c r="BN13">
        <v>114</v>
      </c>
      <c r="BO13">
        <v>50</v>
      </c>
      <c r="BP13">
        <v>43.86</v>
      </c>
      <c r="BQ13">
        <v>48</v>
      </c>
      <c r="BR13">
        <v>11</v>
      </c>
      <c r="BS13">
        <v>22.92</v>
      </c>
      <c r="BT13">
        <v>15</v>
      </c>
      <c r="BU13">
        <v>6</v>
      </c>
      <c r="BV13">
        <v>40</v>
      </c>
      <c r="BW13">
        <v>80</v>
      </c>
      <c r="BX13">
        <v>11</v>
      </c>
      <c r="BY13">
        <v>13.75</v>
      </c>
      <c r="BZ13">
        <v>17</v>
      </c>
      <c r="CA13">
        <v>7</v>
      </c>
      <c r="CB13">
        <v>41.18</v>
      </c>
      <c r="CC13">
        <v>122.5</v>
      </c>
    </row>
    <row r="14" spans="1:81" ht="12" customHeight="1" x14ac:dyDescent="0.15">
      <c r="A14" s="3" t="s">
        <v>63</v>
      </c>
      <c r="B14" s="3" t="s">
        <v>64</v>
      </c>
      <c r="C14" s="3" t="s">
        <v>43</v>
      </c>
      <c r="D14" s="3">
        <v>95</v>
      </c>
      <c r="E14" t="s">
        <v>39</v>
      </c>
      <c r="F14" t="s">
        <v>44</v>
      </c>
      <c r="G14">
        <v>5</v>
      </c>
      <c r="H14">
        <v>2.25</v>
      </c>
      <c r="I14">
        <v>16</v>
      </c>
      <c r="J14">
        <v>13</v>
      </c>
      <c r="K14">
        <v>81.25</v>
      </c>
      <c r="L14">
        <v>376</v>
      </c>
      <c r="M14">
        <v>265</v>
      </c>
      <c r="N14">
        <v>70.48</v>
      </c>
      <c r="O14">
        <v>55.9</v>
      </c>
      <c r="P14">
        <v>137</v>
      </c>
      <c r="Q14">
        <v>20</v>
      </c>
      <c r="R14">
        <v>48</v>
      </c>
      <c r="S14">
        <v>69</v>
      </c>
      <c r="T14">
        <v>105</v>
      </c>
      <c r="U14">
        <v>39</v>
      </c>
      <c r="V14">
        <v>44</v>
      </c>
      <c r="W14">
        <v>22</v>
      </c>
      <c r="X14">
        <v>242</v>
      </c>
      <c r="Y14">
        <v>126</v>
      </c>
      <c r="Z14">
        <v>52.07</v>
      </c>
      <c r="AA14">
        <v>6</v>
      </c>
      <c r="AB14">
        <v>5</v>
      </c>
      <c r="AC14">
        <v>83.33</v>
      </c>
      <c r="AD14">
        <v>46</v>
      </c>
      <c r="AE14">
        <v>11</v>
      </c>
      <c r="AF14">
        <v>23.91</v>
      </c>
      <c r="AG14">
        <v>17</v>
      </c>
      <c r="AH14">
        <v>5</v>
      </c>
      <c r="AI14">
        <v>29.41</v>
      </c>
      <c r="AJ14">
        <v>5</v>
      </c>
      <c r="AK14">
        <v>3</v>
      </c>
      <c r="AL14">
        <v>60</v>
      </c>
      <c r="AM14">
        <v>14</v>
      </c>
      <c r="AN14">
        <v>2</v>
      </c>
      <c r="AO14">
        <v>14.29</v>
      </c>
      <c r="AP14">
        <v>2</v>
      </c>
      <c r="AQ14">
        <v>7</v>
      </c>
      <c r="AR14">
        <v>28</v>
      </c>
      <c r="AS14">
        <v>99</v>
      </c>
      <c r="AT14">
        <v>37</v>
      </c>
      <c r="AU14">
        <v>37.369999999999997</v>
      </c>
      <c r="AV14">
        <v>0</v>
      </c>
      <c r="AW14">
        <v>5</v>
      </c>
      <c r="AX14">
        <v>1</v>
      </c>
      <c r="AY14">
        <v>20</v>
      </c>
      <c r="AZ14">
        <v>86</v>
      </c>
      <c r="BA14">
        <v>65</v>
      </c>
      <c r="BB14">
        <v>75.58</v>
      </c>
      <c r="BC14">
        <v>25</v>
      </c>
      <c r="BD14">
        <v>12</v>
      </c>
      <c r="BE14">
        <v>48</v>
      </c>
      <c r="BF14">
        <v>3</v>
      </c>
      <c r="BG14">
        <v>0</v>
      </c>
      <c r="BH14">
        <v>0</v>
      </c>
      <c r="BI14">
        <v>67</v>
      </c>
      <c r="BJ14">
        <v>17</v>
      </c>
      <c r="BK14">
        <v>10</v>
      </c>
      <c r="BL14">
        <v>2</v>
      </c>
      <c r="BM14">
        <v>0</v>
      </c>
      <c r="BN14">
        <v>160</v>
      </c>
      <c r="BO14">
        <v>106</v>
      </c>
      <c r="BP14">
        <v>66.25</v>
      </c>
      <c r="BQ14">
        <v>67</v>
      </c>
      <c r="BR14">
        <v>37</v>
      </c>
      <c r="BS14">
        <v>55.22</v>
      </c>
      <c r="BT14">
        <v>60</v>
      </c>
      <c r="BU14">
        <v>36</v>
      </c>
      <c r="BV14">
        <v>60</v>
      </c>
      <c r="BW14">
        <v>82</v>
      </c>
      <c r="BX14">
        <v>49</v>
      </c>
      <c r="BY14">
        <v>59.76</v>
      </c>
      <c r="BZ14">
        <v>34</v>
      </c>
      <c r="CA14">
        <v>29</v>
      </c>
      <c r="CB14">
        <v>85.29</v>
      </c>
      <c r="CC14">
        <v>4.92</v>
      </c>
    </row>
    <row r="15" spans="1:81" ht="12" customHeight="1" x14ac:dyDescent="0.15">
      <c r="A15" s="3"/>
      <c r="B15" s="3"/>
      <c r="C15" s="3"/>
      <c r="D15" s="3"/>
      <c r="E15" t="s">
        <v>65</v>
      </c>
      <c r="F15" t="s">
        <v>46</v>
      </c>
      <c r="G15">
        <v>0</v>
      </c>
      <c r="H15">
        <v>0.13</v>
      </c>
      <c r="I15">
        <v>5</v>
      </c>
      <c r="J15">
        <v>1</v>
      </c>
      <c r="K15">
        <v>20</v>
      </c>
      <c r="L15">
        <v>328</v>
      </c>
      <c r="M15">
        <v>215</v>
      </c>
      <c r="N15">
        <v>65.55</v>
      </c>
      <c r="O15">
        <v>44.1</v>
      </c>
      <c r="P15">
        <v>164</v>
      </c>
      <c r="Q15">
        <v>39</v>
      </c>
      <c r="R15">
        <v>58</v>
      </c>
      <c r="S15">
        <v>67</v>
      </c>
      <c r="T15">
        <v>89</v>
      </c>
      <c r="U15">
        <v>41</v>
      </c>
      <c r="V15">
        <v>36</v>
      </c>
      <c r="W15">
        <v>12</v>
      </c>
      <c r="X15">
        <v>242</v>
      </c>
      <c r="Y15">
        <v>107</v>
      </c>
      <c r="Z15">
        <v>44.21</v>
      </c>
      <c r="AA15">
        <v>4</v>
      </c>
      <c r="AB15">
        <v>1</v>
      </c>
      <c r="AC15">
        <v>25</v>
      </c>
      <c r="AD15">
        <v>29</v>
      </c>
      <c r="AE15">
        <v>4</v>
      </c>
      <c r="AF15">
        <v>13.79</v>
      </c>
      <c r="AG15">
        <v>24</v>
      </c>
      <c r="AH15">
        <v>1</v>
      </c>
      <c r="AI15">
        <v>4.17</v>
      </c>
      <c r="AJ15">
        <v>5</v>
      </c>
      <c r="AK15">
        <v>1</v>
      </c>
      <c r="AL15">
        <v>20</v>
      </c>
      <c r="AM15">
        <v>8</v>
      </c>
      <c r="AN15">
        <v>1</v>
      </c>
      <c r="AO15">
        <v>12.5</v>
      </c>
      <c r="AP15">
        <v>1</v>
      </c>
      <c r="AQ15">
        <v>3</v>
      </c>
      <c r="AR15">
        <v>7</v>
      </c>
      <c r="AS15">
        <v>86</v>
      </c>
      <c r="AT15">
        <v>21</v>
      </c>
      <c r="AU15">
        <v>24.42</v>
      </c>
      <c r="AV15">
        <v>5</v>
      </c>
      <c r="AW15">
        <v>16</v>
      </c>
      <c r="AX15">
        <v>14</v>
      </c>
      <c r="AY15">
        <v>87.5</v>
      </c>
      <c r="AZ15">
        <v>99</v>
      </c>
      <c r="BA15">
        <v>62</v>
      </c>
      <c r="BB15">
        <v>62.63</v>
      </c>
      <c r="BC15">
        <v>25</v>
      </c>
      <c r="BD15">
        <v>9</v>
      </c>
      <c r="BE15">
        <v>36</v>
      </c>
      <c r="BF15">
        <v>3</v>
      </c>
      <c r="BG15">
        <v>2</v>
      </c>
      <c r="BH15">
        <v>66.67</v>
      </c>
      <c r="BI15">
        <v>36</v>
      </c>
      <c r="BJ15">
        <v>20</v>
      </c>
      <c r="BK15">
        <v>8</v>
      </c>
      <c r="BL15">
        <v>2</v>
      </c>
      <c r="BM15">
        <v>0</v>
      </c>
      <c r="BN15">
        <v>144</v>
      </c>
      <c r="BO15">
        <v>73</v>
      </c>
      <c r="BP15">
        <v>50.69</v>
      </c>
      <c r="BQ15">
        <v>79</v>
      </c>
      <c r="BR15">
        <v>37</v>
      </c>
      <c r="BS15">
        <v>46.84</v>
      </c>
      <c r="BT15">
        <v>42</v>
      </c>
      <c r="BU15">
        <v>23</v>
      </c>
      <c r="BV15">
        <v>54.76</v>
      </c>
      <c r="BW15">
        <v>81</v>
      </c>
      <c r="BX15">
        <v>36</v>
      </c>
      <c r="BY15">
        <v>44.44</v>
      </c>
      <c r="BZ15">
        <v>35</v>
      </c>
      <c r="CA15">
        <v>24</v>
      </c>
      <c r="CB15">
        <v>68.569999999999993</v>
      </c>
      <c r="CC15">
        <v>8.9600000000000009</v>
      </c>
    </row>
    <row r="16" spans="1:81" ht="12" customHeight="1" x14ac:dyDescent="0.15">
      <c r="A16" s="3" t="s">
        <v>66</v>
      </c>
      <c r="B16" s="3" t="s">
        <v>67</v>
      </c>
      <c r="C16" s="3" t="s">
        <v>43</v>
      </c>
      <c r="D16" s="3">
        <v>93</v>
      </c>
      <c r="E16" t="s">
        <v>39</v>
      </c>
      <c r="F16" t="s">
        <v>53</v>
      </c>
      <c r="G16">
        <v>1</v>
      </c>
      <c r="H16">
        <v>1</v>
      </c>
      <c r="I16">
        <v>12</v>
      </c>
      <c r="J16">
        <v>6</v>
      </c>
      <c r="K16">
        <v>50</v>
      </c>
      <c r="L16">
        <v>596</v>
      </c>
      <c r="M16">
        <v>453</v>
      </c>
      <c r="N16">
        <v>76.010000000000005</v>
      </c>
      <c r="O16">
        <v>64.13</v>
      </c>
      <c r="P16">
        <v>176</v>
      </c>
      <c r="Q16">
        <v>25</v>
      </c>
      <c r="R16">
        <v>63</v>
      </c>
      <c r="S16">
        <v>88</v>
      </c>
      <c r="T16">
        <v>121</v>
      </c>
      <c r="U16">
        <v>32</v>
      </c>
      <c r="V16">
        <v>63</v>
      </c>
      <c r="W16">
        <v>26</v>
      </c>
      <c r="X16">
        <v>221</v>
      </c>
      <c r="Y16">
        <v>124</v>
      </c>
      <c r="Z16">
        <v>56.11</v>
      </c>
      <c r="AA16">
        <v>7</v>
      </c>
      <c r="AB16">
        <v>4</v>
      </c>
      <c r="AC16">
        <v>57.14</v>
      </c>
      <c r="AD16">
        <v>41</v>
      </c>
      <c r="AE16">
        <v>8</v>
      </c>
      <c r="AF16">
        <v>19.510000000000002</v>
      </c>
      <c r="AG16">
        <v>15</v>
      </c>
      <c r="AH16">
        <v>3</v>
      </c>
      <c r="AI16">
        <v>20</v>
      </c>
      <c r="AJ16">
        <v>9</v>
      </c>
      <c r="AK16">
        <v>2</v>
      </c>
      <c r="AL16">
        <v>22.22</v>
      </c>
      <c r="AM16">
        <v>10</v>
      </c>
      <c r="AN16">
        <v>1</v>
      </c>
      <c r="AO16">
        <v>10</v>
      </c>
      <c r="AP16">
        <v>2</v>
      </c>
      <c r="AQ16">
        <v>6</v>
      </c>
      <c r="AR16">
        <v>12</v>
      </c>
      <c r="AS16">
        <v>82</v>
      </c>
      <c r="AT16">
        <v>25</v>
      </c>
      <c r="AU16">
        <v>30.49</v>
      </c>
      <c r="AV16">
        <v>0</v>
      </c>
      <c r="AW16">
        <v>8</v>
      </c>
      <c r="AX16">
        <v>6</v>
      </c>
      <c r="AY16">
        <v>75</v>
      </c>
      <c r="AZ16">
        <v>110</v>
      </c>
      <c r="BA16">
        <v>85</v>
      </c>
      <c r="BB16">
        <v>77.27</v>
      </c>
      <c r="BC16">
        <v>19</v>
      </c>
      <c r="BD16">
        <v>9</v>
      </c>
      <c r="BE16">
        <v>47.37</v>
      </c>
      <c r="BF16">
        <v>3</v>
      </c>
      <c r="BG16">
        <v>1</v>
      </c>
      <c r="BH16">
        <v>33.33</v>
      </c>
      <c r="BI16">
        <v>62</v>
      </c>
      <c r="BJ16">
        <v>14</v>
      </c>
      <c r="BK16">
        <v>7</v>
      </c>
      <c r="BL16">
        <v>0</v>
      </c>
      <c r="BM16">
        <v>0</v>
      </c>
      <c r="BN16">
        <v>200</v>
      </c>
      <c r="BO16">
        <v>123</v>
      </c>
      <c r="BP16">
        <v>61.5</v>
      </c>
      <c r="BQ16">
        <v>59</v>
      </c>
      <c r="BR16">
        <v>23</v>
      </c>
      <c r="BS16">
        <v>38.979999999999997</v>
      </c>
      <c r="BT16">
        <v>73</v>
      </c>
      <c r="BU16">
        <v>38</v>
      </c>
      <c r="BV16">
        <v>52.05</v>
      </c>
      <c r="BW16">
        <v>79</v>
      </c>
      <c r="BX16">
        <v>47</v>
      </c>
      <c r="BY16">
        <v>59.49</v>
      </c>
      <c r="BZ16">
        <v>44</v>
      </c>
      <c r="CA16">
        <v>29</v>
      </c>
      <c r="CB16">
        <v>65.91</v>
      </c>
      <c r="CC16">
        <v>3.74</v>
      </c>
    </row>
    <row r="17" spans="1:81" ht="12" customHeight="1" x14ac:dyDescent="0.15">
      <c r="A17" s="3"/>
      <c r="B17" s="3"/>
      <c r="C17" s="3"/>
      <c r="D17" s="3"/>
      <c r="E17" t="s">
        <v>58</v>
      </c>
      <c r="F17" t="s">
        <v>50</v>
      </c>
      <c r="G17">
        <v>0</v>
      </c>
      <c r="H17">
        <v>0.38</v>
      </c>
      <c r="I17">
        <v>8</v>
      </c>
      <c r="J17">
        <v>4</v>
      </c>
      <c r="K17">
        <v>50</v>
      </c>
      <c r="L17">
        <v>311</v>
      </c>
      <c r="M17">
        <v>188</v>
      </c>
      <c r="N17">
        <v>60.45</v>
      </c>
      <c r="O17">
        <v>35.869999999999997</v>
      </c>
      <c r="P17">
        <v>183</v>
      </c>
      <c r="Q17">
        <v>34</v>
      </c>
      <c r="R17">
        <v>95</v>
      </c>
      <c r="S17">
        <v>54</v>
      </c>
      <c r="T17">
        <v>102</v>
      </c>
      <c r="U17">
        <v>50</v>
      </c>
      <c r="V17">
        <v>40</v>
      </c>
      <c r="W17">
        <v>12</v>
      </c>
      <c r="X17">
        <v>221</v>
      </c>
      <c r="Y17">
        <v>93</v>
      </c>
      <c r="Z17">
        <v>42.08</v>
      </c>
      <c r="AA17">
        <v>5</v>
      </c>
      <c r="AB17">
        <v>2</v>
      </c>
      <c r="AC17">
        <v>40</v>
      </c>
      <c r="AD17">
        <v>23</v>
      </c>
      <c r="AE17">
        <v>6</v>
      </c>
      <c r="AF17">
        <v>26.09</v>
      </c>
      <c r="AG17">
        <v>22</v>
      </c>
      <c r="AH17">
        <v>1</v>
      </c>
      <c r="AI17">
        <v>4.55</v>
      </c>
      <c r="AJ17">
        <v>3</v>
      </c>
      <c r="AK17">
        <v>0</v>
      </c>
      <c r="AL17">
        <v>0</v>
      </c>
      <c r="AM17">
        <v>6</v>
      </c>
      <c r="AN17">
        <v>1</v>
      </c>
      <c r="AO17">
        <v>16.670000000000002</v>
      </c>
      <c r="AP17">
        <v>1</v>
      </c>
      <c r="AQ17">
        <v>1</v>
      </c>
      <c r="AR17">
        <v>7</v>
      </c>
      <c r="AS17">
        <v>110</v>
      </c>
      <c r="AT17">
        <v>25</v>
      </c>
      <c r="AU17">
        <v>22.73</v>
      </c>
      <c r="AV17">
        <v>1</v>
      </c>
      <c r="AW17">
        <v>12</v>
      </c>
      <c r="AX17">
        <v>6</v>
      </c>
      <c r="AY17">
        <v>50</v>
      </c>
      <c r="AZ17">
        <v>82</v>
      </c>
      <c r="BA17">
        <v>57</v>
      </c>
      <c r="BB17">
        <v>69.510000000000005</v>
      </c>
      <c r="BC17">
        <v>19</v>
      </c>
      <c r="BD17">
        <v>8</v>
      </c>
      <c r="BE17">
        <v>42.11</v>
      </c>
      <c r="BF17">
        <v>0</v>
      </c>
      <c r="BG17">
        <v>0</v>
      </c>
      <c r="BH17">
        <v>0</v>
      </c>
      <c r="BI17">
        <v>62</v>
      </c>
      <c r="BJ17">
        <v>16</v>
      </c>
      <c r="BK17">
        <v>3</v>
      </c>
      <c r="BL17">
        <v>0</v>
      </c>
      <c r="BM17">
        <v>0</v>
      </c>
      <c r="BN17">
        <v>133</v>
      </c>
      <c r="BO17">
        <v>60</v>
      </c>
      <c r="BP17">
        <v>45.11</v>
      </c>
      <c r="BQ17">
        <v>49</v>
      </c>
      <c r="BR17">
        <v>16</v>
      </c>
      <c r="BS17">
        <v>32.65</v>
      </c>
      <c r="BT17">
        <v>37</v>
      </c>
      <c r="BU17">
        <v>16</v>
      </c>
      <c r="BV17">
        <v>43.24</v>
      </c>
      <c r="BW17">
        <v>74</v>
      </c>
      <c r="BX17">
        <v>21</v>
      </c>
      <c r="BY17">
        <v>28.38</v>
      </c>
      <c r="BZ17">
        <v>51</v>
      </c>
      <c r="CA17">
        <v>30</v>
      </c>
      <c r="CB17">
        <v>58.82</v>
      </c>
      <c r="CC17">
        <v>18.32</v>
      </c>
    </row>
    <row r="18" spans="1:81" ht="12" customHeight="1" x14ac:dyDescent="0.15">
      <c r="A18" s="3" t="s">
        <v>68</v>
      </c>
      <c r="B18" s="3" t="s">
        <v>69</v>
      </c>
      <c r="C18" s="3" t="s">
        <v>43</v>
      </c>
      <c r="D18" s="3">
        <v>96</v>
      </c>
      <c r="E18" t="s">
        <v>39</v>
      </c>
      <c r="F18" t="s">
        <v>53</v>
      </c>
      <c r="G18">
        <v>1</v>
      </c>
      <c r="H18">
        <v>1.38</v>
      </c>
      <c r="I18">
        <v>11</v>
      </c>
      <c r="J18">
        <v>6</v>
      </c>
      <c r="K18">
        <v>54.55</v>
      </c>
      <c r="L18">
        <v>386</v>
      </c>
      <c r="M18">
        <v>280</v>
      </c>
      <c r="N18">
        <v>72.540000000000006</v>
      </c>
      <c r="O18">
        <v>45.86</v>
      </c>
      <c r="P18">
        <v>155</v>
      </c>
      <c r="Q18">
        <v>19</v>
      </c>
      <c r="R18">
        <v>60</v>
      </c>
      <c r="S18">
        <v>76</v>
      </c>
      <c r="T18">
        <v>120</v>
      </c>
      <c r="U18">
        <v>47</v>
      </c>
      <c r="V18">
        <v>63</v>
      </c>
      <c r="W18">
        <v>10</v>
      </c>
      <c r="X18">
        <v>259</v>
      </c>
      <c r="Y18">
        <v>141</v>
      </c>
      <c r="Z18">
        <v>54.44</v>
      </c>
      <c r="AA18">
        <v>4</v>
      </c>
      <c r="AB18">
        <v>2</v>
      </c>
      <c r="AC18">
        <v>50</v>
      </c>
      <c r="AD18">
        <v>27</v>
      </c>
      <c r="AE18">
        <v>7</v>
      </c>
      <c r="AF18">
        <v>25.93</v>
      </c>
      <c r="AG18">
        <v>19</v>
      </c>
      <c r="AH18">
        <v>3</v>
      </c>
      <c r="AI18">
        <v>15.79</v>
      </c>
      <c r="AJ18">
        <v>6</v>
      </c>
      <c r="AK18">
        <v>1</v>
      </c>
      <c r="AL18">
        <v>16.670000000000002</v>
      </c>
      <c r="AM18">
        <v>15</v>
      </c>
      <c r="AN18">
        <v>5</v>
      </c>
      <c r="AO18">
        <v>33.33</v>
      </c>
      <c r="AP18">
        <v>4</v>
      </c>
      <c r="AQ18">
        <v>5</v>
      </c>
      <c r="AR18">
        <v>18</v>
      </c>
      <c r="AS18">
        <v>76</v>
      </c>
      <c r="AT18">
        <v>18</v>
      </c>
      <c r="AU18">
        <v>23.68</v>
      </c>
      <c r="AV18">
        <v>1</v>
      </c>
      <c r="AW18">
        <v>6</v>
      </c>
      <c r="AX18">
        <v>1</v>
      </c>
      <c r="AY18">
        <v>16.670000000000002</v>
      </c>
      <c r="AZ18">
        <v>129</v>
      </c>
      <c r="BA18">
        <v>102</v>
      </c>
      <c r="BB18">
        <v>79.069999999999993</v>
      </c>
      <c r="BC18">
        <v>33</v>
      </c>
      <c r="BD18">
        <v>11</v>
      </c>
      <c r="BE18">
        <v>33.33</v>
      </c>
      <c r="BF18">
        <v>1</v>
      </c>
      <c r="BG18">
        <v>1</v>
      </c>
      <c r="BH18">
        <v>100</v>
      </c>
      <c r="BI18">
        <v>51</v>
      </c>
      <c r="BJ18">
        <v>32</v>
      </c>
      <c r="BK18">
        <v>8</v>
      </c>
      <c r="BL18">
        <v>1</v>
      </c>
      <c r="BM18">
        <v>0</v>
      </c>
      <c r="BN18">
        <v>161</v>
      </c>
      <c r="BO18">
        <v>105</v>
      </c>
      <c r="BP18">
        <v>65.22</v>
      </c>
      <c r="BQ18">
        <v>65</v>
      </c>
      <c r="BR18">
        <v>27</v>
      </c>
      <c r="BS18">
        <v>41.54</v>
      </c>
      <c r="BT18">
        <v>61</v>
      </c>
      <c r="BU18">
        <v>32</v>
      </c>
      <c r="BV18">
        <v>52.46</v>
      </c>
      <c r="BW18">
        <v>81</v>
      </c>
      <c r="BX18">
        <v>53</v>
      </c>
      <c r="BY18">
        <v>65.430000000000007</v>
      </c>
      <c r="BZ18">
        <v>26</v>
      </c>
      <c r="CA18">
        <v>17</v>
      </c>
      <c r="CB18">
        <v>65.38</v>
      </c>
      <c r="CC18">
        <v>7.16</v>
      </c>
    </row>
    <row r="19" spans="1:81" ht="12" customHeight="1" x14ac:dyDescent="0.15">
      <c r="A19" s="3"/>
      <c r="B19" s="3"/>
      <c r="C19" s="3"/>
      <c r="D19" s="3"/>
      <c r="E19" t="s">
        <v>45</v>
      </c>
      <c r="F19" t="s">
        <v>50</v>
      </c>
      <c r="G19">
        <v>1</v>
      </c>
      <c r="H19">
        <v>0.6</v>
      </c>
      <c r="I19">
        <v>6</v>
      </c>
      <c r="J19">
        <v>1</v>
      </c>
      <c r="K19">
        <v>16.670000000000002</v>
      </c>
      <c r="L19">
        <v>420</v>
      </c>
      <c r="M19">
        <v>315</v>
      </c>
      <c r="N19">
        <v>75</v>
      </c>
      <c r="O19">
        <v>54.14</v>
      </c>
      <c r="P19">
        <v>157</v>
      </c>
      <c r="Q19">
        <v>21</v>
      </c>
      <c r="R19">
        <v>68</v>
      </c>
      <c r="S19">
        <v>68</v>
      </c>
      <c r="T19">
        <v>105</v>
      </c>
      <c r="U19">
        <v>44</v>
      </c>
      <c r="V19">
        <v>46</v>
      </c>
      <c r="W19">
        <v>15</v>
      </c>
      <c r="X19">
        <v>259</v>
      </c>
      <c r="Y19">
        <v>116</v>
      </c>
      <c r="Z19">
        <v>44.79</v>
      </c>
      <c r="AA19">
        <v>3</v>
      </c>
      <c r="AB19">
        <v>0</v>
      </c>
      <c r="AC19">
        <v>0</v>
      </c>
      <c r="AD19">
        <v>30</v>
      </c>
      <c r="AE19">
        <v>3</v>
      </c>
      <c r="AF19">
        <v>10</v>
      </c>
      <c r="AG19">
        <v>21</v>
      </c>
      <c r="AH19">
        <v>2</v>
      </c>
      <c r="AI19">
        <v>9.52</v>
      </c>
      <c r="AJ19">
        <v>5</v>
      </c>
      <c r="AK19">
        <v>1</v>
      </c>
      <c r="AL19">
        <v>20</v>
      </c>
      <c r="AM19">
        <v>10</v>
      </c>
      <c r="AN19">
        <v>2</v>
      </c>
      <c r="AO19">
        <v>20</v>
      </c>
      <c r="AP19">
        <v>1</v>
      </c>
      <c r="AQ19">
        <v>5</v>
      </c>
      <c r="AR19">
        <v>7</v>
      </c>
      <c r="AS19">
        <v>129</v>
      </c>
      <c r="AT19">
        <v>27</v>
      </c>
      <c r="AU19">
        <v>20.93</v>
      </c>
      <c r="AV19">
        <v>1</v>
      </c>
      <c r="AW19">
        <v>11</v>
      </c>
      <c r="AX19">
        <v>6</v>
      </c>
      <c r="AY19">
        <v>54.55</v>
      </c>
      <c r="AZ19">
        <v>76</v>
      </c>
      <c r="BA19">
        <v>58</v>
      </c>
      <c r="BB19">
        <v>76.319999999999993</v>
      </c>
      <c r="BC19">
        <v>33</v>
      </c>
      <c r="BD19">
        <v>21</v>
      </c>
      <c r="BE19">
        <v>63.64</v>
      </c>
      <c r="BF19">
        <v>7</v>
      </c>
      <c r="BG19">
        <v>5</v>
      </c>
      <c r="BH19">
        <v>71.430000000000007</v>
      </c>
      <c r="BI19">
        <v>48</v>
      </c>
      <c r="BJ19">
        <v>23</v>
      </c>
      <c r="BK19">
        <v>5</v>
      </c>
      <c r="BL19">
        <v>1</v>
      </c>
      <c r="BM19">
        <v>0</v>
      </c>
      <c r="BN19">
        <v>155</v>
      </c>
      <c r="BO19">
        <v>97</v>
      </c>
      <c r="BP19">
        <v>62.58</v>
      </c>
      <c r="BQ19">
        <v>51</v>
      </c>
      <c r="BR19">
        <v>20</v>
      </c>
      <c r="BS19">
        <v>39.22</v>
      </c>
      <c r="BT19">
        <v>58</v>
      </c>
      <c r="BU19">
        <v>31</v>
      </c>
      <c r="BV19">
        <v>53.45</v>
      </c>
      <c r="BW19">
        <v>81</v>
      </c>
      <c r="BX19">
        <v>50</v>
      </c>
      <c r="BY19">
        <v>61.73</v>
      </c>
      <c r="BZ19">
        <v>35</v>
      </c>
      <c r="CA19">
        <v>29</v>
      </c>
      <c r="CB19">
        <v>82.86</v>
      </c>
      <c r="CC19">
        <v>7.69</v>
      </c>
    </row>
    <row r="20" spans="1:81" ht="12" customHeight="1" x14ac:dyDescent="0.15">
      <c r="A20" s="3" t="s">
        <v>70</v>
      </c>
      <c r="B20" s="3" t="s">
        <v>71</v>
      </c>
      <c r="C20" s="3" t="s">
        <v>43</v>
      </c>
      <c r="D20" s="3">
        <v>93</v>
      </c>
      <c r="E20" t="s">
        <v>39</v>
      </c>
      <c r="F20" t="s">
        <v>46</v>
      </c>
      <c r="G20">
        <v>3</v>
      </c>
      <c r="H20">
        <v>1.68</v>
      </c>
      <c r="I20">
        <v>17</v>
      </c>
      <c r="J20">
        <v>8</v>
      </c>
      <c r="K20">
        <v>47.06</v>
      </c>
      <c r="L20">
        <v>366</v>
      </c>
      <c r="M20">
        <v>250</v>
      </c>
      <c r="N20">
        <v>68.31</v>
      </c>
      <c r="O20">
        <v>52</v>
      </c>
      <c r="P20">
        <v>113</v>
      </c>
      <c r="Q20">
        <v>10</v>
      </c>
      <c r="R20">
        <v>41</v>
      </c>
      <c r="S20">
        <v>62</v>
      </c>
      <c r="T20">
        <v>92</v>
      </c>
      <c r="U20">
        <v>29</v>
      </c>
      <c r="V20">
        <v>39</v>
      </c>
      <c r="W20">
        <v>24</v>
      </c>
      <c r="X20">
        <v>203</v>
      </c>
      <c r="Y20">
        <v>106</v>
      </c>
      <c r="Z20">
        <v>52.22</v>
      </c>
      <c r="AA20">
        <v>7</v>
      </c>
      <c r="AB20">
        <v>3</v>
      </c>
      <c r="AC20">
        <v>42.86</v>
      </c>
      <c r="AD20">
        <v>50</v>
      </c>
      <c r="AE20">
        <v>13</v>
      </c>
      <c r="AF20">
        <v>26</v>
      </c>
      <c r="AG20">
        <v>20</v>
      </c>
      <c r="AH20">
        <v>4</v>
      </c>
      <c r="AI20">
        <v>20</v>
      </c>
      <c r="AJ20">
        <v>11</v>
      </c>
      <c r="AK20">
        <v>3</v>
      </c>
      <c r="AL20">
        <v>27.27</v>
      </c>
      <c r="AM20">
        <v>29</v>
      </c>
      <c r="AN20">
        <v>9</v>
      </c>
      <c r="AO20">
        <v>31.03</v>
      </c>
      <c r="AP20">
        <v>11</v>
      </c>
      <c r="AQ20">
        <v>6</v>
      </c>
      <c r="AR20">
        <v>28</v>
      </c>
      <c r="AS20">
        <v>73</v>
      </c>
      <c r="AT20">
        <v>27</v>
      </c>
      <c r="AU20">
        <v>36.99</v>
      </c>
      <c r="AV20">
        <v>1</v>
      </c>
      <c r="AW20">
        <v>4</v>
      </c>
      <c r="AX20">
        <v>4</v>
      </c>
      <c r="AY20">
        <v>100</v>
      </c>
      <c r="AZ20">
        <v>80</v>
      </c>
      <c r="BA20">
        <v>58</v>
      </c>
      <c r="BB20">
        <v>72.5</v>
      </c>
      <c r="BC20">
        <v>19</v>
      </c>
      <c r="BD20">
        <v>10</v>
      </c>
      <c r="BE20">
        <v>52.63</v>
      </c>
      <c r="BF20">
        <v>1</v>
      </c>
      <c r="BG20">
        <v>0</v>
      </c>
      <c r="BH20">
        <v>0</v>
      </c>
      <c r="BI20">
        <v>30</v>
      </c>
      <c r="BJ20">
        <v>16</v>
      </c>
      <c r="BK20">
        <v>6</v>
      </c>
      <c r="BL20">
        <v>0</v>
      </c>
      <c r="BM20">
        <v>0</v>
      </c>
      <c r="BN20">
        <v>149</v>
      </c>
      <c r="BO20">
        <v>88</v>
      </c>
      <c r="BP20">
        <v>59.06</v>
      </c>
      <c r="BQ20">
        <v>53</v>
      </c>
      <c r="BR20">
        <v>23</v>
      </c>
      <c r="BS20">
        <v>43.4</v>
      </c>
      <c r="BT20">
        <v>56</v>
      </c>
      <c r="BU20">
        <v>29</v>
      </c>
      <c r="BV20">
        <v>51.79</v>
      </c>
      <c r="BW20">
        <v>84</v>
      </c>
      <c r="BX20">
        <v>51</v>
      </c>
      <c r="BY20">
        <v>60.71</v>
      </c>
      <c r="BZ20">
        <v>41</v>
      </c>
      <c r="CA20">
        <v>36</v>
      </c>
      <c r="CB20">
        <v>87.8</v>
      </c>
      <c r="CC20">
        <v>6.2</v>
      </c>
    </row>
    <row r="21" spans="1:81" ht="12" customHeight="1" x14ac:dyDescent="0.15">
      <c r="A21" s="3"/>
      <c r="B21" s="3"/>
      <c r="C21" s="3"/>
      <c r="D21" s="3"/>
      <c r="E21" t="s">
        <v>72</v>
      </c>
      <c r="F21" t="s">
        <v>44</v>
      </c>
      <c r="G21">
        <v>1</v>
      </c>
      <c r="H21">
        <v>0.23</v>
      </c>
      <c r="I21">
        <v>4</v>
      </c>
      <c r="J21">
        <v>4</v>
      </c>
      <c r="K21">
        <v>100</v>
      </c>
      <c r="L21">
        <v>281</v>
      </c>
      <c r="M21">
        <v>185</v>
      </c>
      <c r="N21">
        <v>65.84</v>
      </c>
      <c r="O21">
        <v>48</v>
      </c>
      <c r="P21">
        <v>150</v>
      </c>
      <c r="Q21">
        <v>33</v>
      </c>
      <c r="R21">
        <v>67</v>
      </c>
      <c r="S21">
        <v>50</v>
      </c>
      <c r="T21">
        <v>75</v>
      </c>
      <c r="U21">
        <v>40</v>
      </c>
      <c r="V21">
        <v>31</v>
      </c>
      <c r="W21">
        <v>4</v>
      </c>
      <c r="X21">
        <v>203</v>
      </c>
      <c r="Y21">
        <v>93</v>
      </c>
      <c r="Z21">
        <v>45.81</v>
      </c>
      <c r="AA21">
        <v>3</v>
      </c>
      <c r="AB21">
        <v>3</v>
      </c>
      <c r="AC21">
        <v>100</v>
      </c>
      <c r="AD21">
        <v>19</v>
      </c>
      <c r="AE21">
        <v>1</v>
      </c>
      <c r="AF21">
        <v>5.26</v>
      </c>
      <c r="AG21">
        <v>32</v>
      </c>
      <c r="AH21">
        <v>2</v>
      </c>
      <c r="AI21">
        <v>6.25</v>
      </c>
      <c r="AJ21">
        <v>3</v>
      </c>
      <c r="AK21">
        <v>0</v>
      </c>
      <c r="AL21">
        <v>0</v>
      </c>
      <c r="AM21">
        <v>10</v>
      </c>
      <c r="AN21">
        <v>1</v>
      </c>
      <c r="AO21">
        <v>10</v>
      </c>
      <c r="AP21">
        <v>1</v>
      </c>
      <c r="AQ21">
        <v>0</v>
      </c>
      <c r="AR21">
        <v>3</v>
      </c>
      <c r="AS21">
        <v>80</v>
      </c>
      <c r="AT21">
        <v>22</v>
      </c>
      <c r="AU21">
        <v>27.5</v>
      </c>
      <c r="AV21">
        <v>3</v>
      </c>
      <c r="AW21">
        <v>17</v>
      </c>
      <c r="AX21">
        <v>8</v>
      </c>
      <c r="AY21">
        <v>47.06</v>
      </c>
      <c r="AZ21">
        <v>73</v>
      </c>
      <c r="BA21">
        <v>46</v>
      </c>
      <c r="BB21">
        <v>63.01</v>
      </c>
      <c r="BC21">
        <v>19</v>
      </c>
      <c r="BD21">
        <v>9</v>
      </c>
      <c r="BE21">
        <v>47.37</v>
      </c>
      <c r="BF21">
        <v>4</v>
      </c>
      <c r="BG21">
        <v>2</v>
      </c>
      <c r="BH21">
        <v>50</v>
      </c>
      <c r="BI21">
        <v>60</v>
      </c>
      <c r="BJ21">
        <v>22</v>
      </c>
      <c r="BK21">
        <v>5</v>
      </c>
      <c r="BL21">
        <v>0</v>
      </c>
      <c r="BM21">
        <v>0</v>
      </c>
      <c r="BN21">
        <v>116</v>
      </c>
      <c r="BO21">
        <v>65</v>
      </c>
      <c r="BP21">
        <v>56.03</v>
      </c>
      <c r="BQ21">
        <v>57</v>
      </c>
      <c r="BR21">
        <v>23</v>
      </c>
      <c r="BS21">
        <v>40.35</v>
      </c>
      <c r="BT21">
        <v>44</v>
      </c>
      <c r="BU21">
        <v>23</v>
      </c>
      <c r="BV21">
        <v>52.27</v>
      </c>
      <c r="BW21">
        <v>68</v>
      </c>
      <c r="BX21">
        <v>34</v>
      </c>
      <c r="BY21">
        <v>50</v>
      </c>
      <c r="BZ21">
        <v>31</v>
      </c>
      <c r="CA21">
        <v>22</v>
      </c>
      <c r="CB21">
        <v>70.97</v>
      </c>
      <c r="CC21">
        <v>11.41</v>
      </c>
    </row>
    <row r="22" spans="1:81" ht="12" customHeight="1" x14ac:dyDescent="0.15">
      <c r="A22" s="3" t="s">
        <v>73</v>
      </c>
      <c r="B22" s="3" t="s">
        <v>74</v>
      </c>
      <c r="C22" s="3" t="s">
        <v>43</v>
      </c>
      <c r="D22" s="3">
        <v>99</v>
      </c>
      <c r="E22" t="s">
        <v>39</v>
      </c>
      <c r="F22" t="s">
        <v>53</v>
      </c>
      <c r="G22">
        <v>0</v>
      </c>
      <c r="H22">
        <v>1.24</v>
      </c>
      <c r="I22">
        <v>13</v>
      </c>
      <c r="J22">
        <v>4</v>
      </c>
      <c r="K22">
        <v>30.77</v>
      </c>
      <c r="L22">
        <v>391</v>
      </c>
      <c r="M22">
        <v>281</v>
      </c>
      <c r="N22">
        <v>71.87</v>
      </c>
      <c r="O22">
        <v>39.92</v>
      </c>
      <c r="P22">
        <v>137</v>
      </c>
      <c r="Q22">
        <v>17</v>
      </c>
      <c r="R22">
        <v>60</v>
      </c>
      <c r="S22">
        <v>60</v>
      </c>
      <c r="T22">
        <v>115</v>
      </c>
      <c r="U22">
        <v>55</v>
      </c>
      <c r="V22">
        <v>37</v>
      </c>
      <c r="W22">
        <v>23</v>
      </c>
      <c r="X22">
        <v>200</v>
      </c>
      <c r="Y22">
        <v>98</v>
      </c>
      <c r="Z22">
        <v>49</v>
      </c>
      <c r="AA22">
        <v>4</v>
      </c>
      <c r="AB22">
        <v>2</v>
      </c>
      <c r="AC22">
        <v>50</v>
      </c>
      <c r="AD22">
        <v>34</v>
      </c>
      <c r="AE22">
        <v>12</v>
      </c>
      <c r="AF22">
        <v>35.29</v>
      </c>
      <c r="AG22">
        <v>20</v>
      </c>
      <c r="AH22">
        <v>1</v>
      </c>
      <c r="AI22">
        <v>5</v>
      </c>
      <c r="AJ22">
        <v>4</v>
      </c>
      <c r="AK22">
        <v>1</v>
      </c>
      <c r="AL22">
        <v>25</v>
      </c>
      <c r="AM22">
        <v>17</v>
      </c>
      <c r="AN22">
        <v>8</v>
      </c>
      <c r="AO22">
        <v>47.06</v>
      </c>
      <c r="AP22">
        <v>7</v>
      </c>
      <c r="AQ22">
        <v>3</v>
      </c>
      <c r="AR22">
        <v>16</v>
      </c>
      <c r="AS22">
        <v>68</v>
      </c>
      <c r="AT22">
        <v>22</v>
      </c>
      <c r="AU22">
        <v>32.35</v>
      </c>
      <c r="AV22">
        <v>0</v>
      </c>
      <c r="AW22">
        <v>10</v>
      </c>
      <c r="AX22">
        <v>4</v>
      </c>
      <c r="AY22">
        <v>40</v>
      </c>
      <c r="AZ22">
        <v>83</v>
      </c>
      <c r="BA22">
        <v>56</v>
      </c>
      <c r="BB22">
        <v>67.47</v>
      </c>
      <c r="BC22">
        <v>16</v>
      </c>
      <c r="BD22">
        <v>6</v>
      </c>
      <c r="BE22">
        <v>37.5</v>
      </c>
      <c r="BF22">
        <v>0</v>
      </c>
      <c r="BG22">
        <v>0</v>
      </c>
      <c r="BH22">
        <v>0</v>
      </c>
      <c r="BI22">
        <v>60</v>
      </c>
      <c r="BJ22">
        <v>14</v>
      </c>
      <c r="BK22">
        <v>10</v>
      </c>
      <c r="BL22">
        <v>2</v>
      </c>
      <c r="BM22">
        <v>0</v>
      </c>
      <c r="BN22">
        <v>181</v>
      </c>
      <c r="BO22">
        <v>108</v>
      </c>
      <c r="BP22">
        <v>59.67</v>
      </c>
      <c r="BQ22">
        <v>70</v>
      </c>
      <c r="BR22">
        <v>27</v>
      </c>
      <c r="BS22">
        <v>38.57</v>
      </c>
      <c r="BT22">
        <v>49</v>
      </c>
      <c r="BU22">
        <v>25</v>
      </c>
      <c r="BV22">
        <v>51.02</v>
      </c>
      <c r="BW22">
        <v>92</v>
      </c>
      <c r="BX22">
        <v>48</v>
      </c>
      <c r="BY22">
        <v>52.17</v>
      </c>
      <c r="BZ22">
        <v>23</v>
      </c>
      <c r="CA22">
        <v>18</v>
      </c>
      <c r="CB22">
        <v>78.260000000000005</v>
      </c>
      <c r="CC22">
        <v>9.02</v>
      </c>
    </row>
    <row r="23" spans="1:81" ht="12" customHeight="1" x14ac:dyDescent="0.15">
      <c r="A23" s="3"/>
      <c r="B23" s="3"/>
      <c r="C23" s="3"/>
      <c r="D23" s="3"/>
      <c r="E23" t="s">
        <v>54</v>
      </c>
      <c r="F23" t="s">
        <v>75</v>
      </c>
      <c r="G23">
        <v>0</v>
      </c>
      <c r="H23">
        <v>0.73</v>
      </c>
      <c r="I23">
        <v>10</v>
      </c>
      <c r="J23">
        <v>4</v>
      </c>
      <c r="K23">
        <v>40</v>
      </c>
      <c r="L23">
        <v>503</v>
      </c>
      <c r="M23">
        <v>371</v>
      </c>
      <c r="N23">
        <v>73.760000000000005</v>
      </c>
      <c r="O23">
        <v>60.08</v>
      </c>
      <c r="P23">
        <v>162</v>
      </c>
      <c r="Q23">
        <v>31</v>
      </c>
      <c r="R23">
        <v>52</v>
      </c>
      <c r="S23">
        <v>79</v>
      </c>
      <c r="T23">
        <v>104</v>
      </c>
      <c r="U23">
        <v>41</v>
      </c>
      <c r="V23">
        <v>53</v>
      </c>
      <c r="W23">
        <v>10</v>
      </c>
      <c r="X23">
        <v>200</v>
      </c>
      <c r="Y23">
        <v>99</v>
      </c>
      <c r="Z23">
        <v>49.5</v>
      </c>
      <c r="AA23">
        <v>5</v>
      </c>
      <c r="AB23">
        <v>1</v>
      </c>
      <c r="AC23">
        <v>20</v>
      </c>
      <c r="AD23">
        <v>41</v>
      </c>
      <c r="AE23">
        <v>6</v>
      </c>
      <c r="AF23">
        <v>14.63</v>
      </c>
      <c r="AG23">
        <v>25</v>
      </c>
      <c r="AH23">
        <v>4</v>
      </c>
      <c r="AI23">
        <v>16</v>
      </c>
      <c r="AJ23">
        <v>4</v>
      </c>
      <c r="AK23">
        <v>1</v>
      </c>
      <c r="AL23">
        <v>25</v>
      </c>
      <c r="AM23">
        <v>20</v>
      </c>
      <c r="AN23">
        <v>4</v>
      </c>
      <c r="AO23">
        <v>20</v>
      </c>
      <c r="AP23">
        <v>4</v>
      </c>
      <c r="AQ23">
        <v>3</v>
      </c>
      <c r="AR23">
        <v>13</v>
      </c>
      <c r="AS23">
        <v>83</v>
      </c>
      <c r="AT23">
        <v>27</v>
      </c>
      <c r="AU23">
        <v>32.53</v>
      </c>
      <c r="AV23">
        <v>0</v>
      </c>
      <c r="AW23">
        <v>13</v>
      </c>
      <c r="AX23">
        <v>4</v>
      </c>
      <c r="AY23">
        <v>30.77</v>
      </c>
      <c r="AZ23">
        <v>68</v>
      </c>
      <c r="BA23">
        <v>46</v>
      </c>
      <c r="BB23">
        <v>67.650000000000006</v>
      </c>
      <c r="BC23">
        <v>16</v>
      </c>
      <c r="BD23">
        <v>9</v>
      </c>
      <c r="BE23">
        <v>56.25</v>
      </c>
      <c r="BF23">
        <v>0</v>
      </c>
      <c r="BG23">
        <v>0</v>
      </c>
      <c r="BH23">
        <v>0</v>
      </c>
      <c r="BI23">
        <v>33</v>
      </c>
      <c r="BJ23">
        <v>11</v>
      </c>
      <c r="BK23">
        <v>6</v>
      </c>
      <c r="BL23">
        <v>1</v>
      </c>
      <c r="BM23">
        <v>0</v>
      </c>
      <c r="BN23">
        <v>184</v>
      </c>
      <c r="BO23">
        <v>107</v>
      </c>
      <c r="BP23">
        <v>58.15</v>
      </c>
      <c r="BQ23">
        <v>53</v>
      </c>
      <c r="BR23">
        <v>19</v>
      </c>
      <c r="BS23">
        <v>35.85</v>
      </c>
      <c r="BT23">
        <v>70</v>
      </c>
      <c r="BU23">
        <v>38</v>
      </c>
      <c r="BV23">
        <v>54.29</v>
      </c>
      <c r="BW23">
        <v>84</v>
      </c>
      <c r="BX23">
        <v>49</v>
      </c>
      <c r="BY23">
        <v>58.33</v>
      </c>
      <c r="BZ23">
        <v>35</v>
      </c>
      <c r="CA23">
        <v>32</v>
      </c>
      <c r="CB23">
        <v>91.43</v>
      </c>
      <c r="CC23">
        <v>12.58</v>
      </c>
    </row>
    <row r="24" spans="1:81" ht="12" customHeight="1" x14ac:dyDescent="0.15">
      <c r="A24" s="3" t="s">
        <v>76</v>
      </c>
      <c r="B24" s="3" t="s">
        <v>77</v>
      </c>
      <c r="C24" s="3" t="s">
        <v>43</v>
      </c>
      <c r="D24" s="3">
        <v>95</v>
      </c>
      <c r="E24" t="s">
        <v>39</v>
      </c>
      <c r="F24" t="s">
        <v>78</v>
      </c>
      <c r="G24">
        <v>0</v>
      </c>
      <c r="H24">
        <v>0.53</v>
      </c>
      <c r="I24">
        <v>10</v>
      </c>
      <c r="J24">
        <v>3</v>
      </c>
      <c r="K24">
        <v>30</v>
      </c>
      <c r="L24">
        <v>516</v>
      </c>
      <c r="M24">
        <v>416</v>
      </c>
      <c r="N24">
        <v>80.62</v>
      </c>
      <c r="O24">
        <v>51.92</v>
      </c>
      <c r="P24">
        <v>128</v>
      </c>
      <c r="Q24">
        <v>18</v>
      </c>
      <c r="R24">
        <v>53</v>
      </c>
      <c r="S24">
        <v>57</v>
      </c>
      <c r="T24">
        <v>97</v>
      </c>
      <c r="U24">
        <v>54</v>
      </c>
      <c r="V24">
        <v>32</v>
      </c>
      <c r="W24">
        <v>11</v>
      </c>
      <c r="X24">
        <v>173</v>
      </c>
      <c r="Y24">
        <v>87</v>
      </c>
      <c r="Z24">
        <v>50.29</v>
      </c>
      <c r="AA24">
        <v>5</v>
      </c>
      <c r="AB24">
        <v>2</v>
      </c>
      <c r="AC24">
        <v>40</v>
      </c>
      <c r="AD24">
        <v>31</v>
      </c>
      <c r="AE24">
        <v>9</v>
      </c>
      <c r="AF24">
        <v>29.03</v>
      </c>
      <c r="AG24">
        <v>15</v>
      </c>
      <c r="AH24">
        <v>0</v>
      </c>
      <c r="AI24">
        <v>0</v>
      </c>
      <c r="AJ24">
        <v>3</v>
      </c>
      <c r="AK24">
        <v>0</v>
      </c>
      <c r="AL24">
        <v>0</v>
      </c>
      <c r="AM24">
        <v>13</v>
      </c>
      <c r="AN24">
        <v>4</v>
      </c>
      <c r="AO24">
        <v>30.77</v>
      </c>
      <c r="AP24">
        <v>3</v>
      </c>
      <c r="AQ24">
        <v>5</v>
      </c>
      <c r="AR24">
        <v>14</v>
      </c>
      <c r="AS24">
        <v>57</v>
      </c>
      <c r="AT24">
        <v>20</v>
      </c>
      <c r="AU24">
        <v>35.090000000000003</v>
      </c>
      <c r="AV24">
        <v>0</v>
      </c>
      <c r="AW24">
        <v>8</v>
      </c>
      <c r="AX24">
        <v>0</v>
      </c>
      <c r="AY24">
        <v>0</v>
      </c>
      <c r="AZ24">
        <v>77</v>
      </c>
      <c r="BA24">
        <v>49</v>
      </c>
      <c r="BB24">
        <v>63.64</v>
      </c>
      <c r="BC24">
        <v>11</v>
      </c>
      <c r="BD24">
        <v>2</v>
      </c>
      <c r="BE24">
        <v>18.18</v>
      </c>
      <c r="BF24">
        <v>3</v>
      </c>
      <c r="BG24">
        <v>3</v>
      </c>
      <c r="BH24">
        <v>100</v>
      </c>
      <c r="BI24">
        <v>60</v>
      </c>
      <c r="BJ24">
        <v>25</v>
      </c>
      <c r="BK24">
        <v>7</v>
      </c>
      <c r="BL24">
        <v>0</v>
      </c>
      <c r="BM24">
        <v>0</v>
      </c>
      <c r="BN24">
        <v>172</v>
      </c>
      <c r="BO24">
        <v>111</v>
      </c>
      <c r="BP24">
        <v>64.53</v>
      </c>
      <c r="BQ24">
        <v>54</v>
      </c>
      <c r="BR24">
        <v>23</v>
      </c>
      <c r="BS24">
        <v>42.59</v>
      </c>
      <c r="BT24">
        <v>61</v>
      </c>
      <c r="BU24">
        <v>29</v>
      </c>
      <c r="BV24">
        <v>47.54</v>
      </c>
      <c r="BW24">
        <v>71</v>
      </c>
      <c r="BX24">
        <v>51</v>
      </c>
      <c r="BY24">
        <v>71.83</v>
      </c>
      <c r="BZ24">
        <v>19</v>
      </c>
      <c r="CA24">
        <v>16</v>
      </c>
      <c r="CB24">
        <v>84.21</v>
      </c>
      <c r="CC24">
        <v>10.93</v>
      </c>
    </row>
    <row r="25" spans="1:81" ht="12" customHeight="1" x14ac:dyDescent="0.15">
      <c r="A25" s="3"/>
      <c r="B25" s="3"/>
      <c r="C25" s="3"/>
      <c r="D25" s="3"/>
      <c r="E25" t="s">
        <v>49</v>
      </c>
      <c r="F25" t="s">
        <v>44</v>
      </c>
      <c r="G25">
        <v>0</v>
      </c>
      <c r="H25">
        <v>0.39</v>
      </c>
      <c r="I25">
        <v>8</v>
      </c>
      <c r="J25">
        <v>0</v>
      </c>
      <c r="K25">
        <v>0</v>
      </c>
      <c r="L25">
        <v>417</v>
      </c>
      <c r="M25">
        <v>314</v>
      </c>
      <c r="N25">
        <v>75.3</v>
      </c>
      <c r="O25">
        <v>48.08</v>
      </c>
      <c r="P25">
        <v>144</v>
      </c>
      <c r="Q25">
        <v>26</v>
      </c>
      <c r="R25">
        <v>35</v>
      </c>
      <c r="S25">
        <v>83</v>
      </c>
      <c r="T25">
        <v>79</v>
      </c>
      <c r="U25">
        <v>36</v>
      </c>
      <c r="V25">
        <v>38</v>
      </c>
      <c r="W25">
        <v>5</v>
      </c>
      <c r="X25">
        <v>173</v>
      </c>
      <c r="Y25">
        <v>81</v>
      </c>
      <c r="Z25">
        <v>46.82</v>
      </c>
      <c r="AA25">
        <v>6</v>
      </c>
      <c r="AB25">
        <v>0</v>
      </c>
      <c r="AC25">
        <v>0</v>
      </c>
      <c r="AD25">
        <v>33</v>
      </c>
      <c r="AE25">
        <v>5</v>
      </c>
      <c r="AF25">
        <v>15.15</v>
      </c>
      <c r="AG25">
        <v>20</v>
      </c>
      <c r="AH25">
        <v>3</v>
      </c>
      <c r="AI25">
        <v>15</v>
      </c>
      <c r="AJ25">
        <v>5</v>
      </c>
      <c r="AK25">
        <v>1</v>
      </c>
      <c r="AL25">
        <v>20</v>
      </c>
      <c r="AM25">
        <v>16</v>
      </c>
      <c r="AN25">
        <v>3</v>
      </c>
      <c r="AO25">
        <v>18.75</v>
      </c>
      <c r="AP25">
        <v>5</v>
      </c>
      <c r="AQ25">
        <v>2</v>
      </c>
      <c r="AR25">
        <v>9</v>
      </c>
      <c r="AS25">
        <v>77</v>
      </c>
      <c r="AT25">
        <v>28</v>
      </c>
      <c r="AU25">
        <v>36.36</v>
      </c>
      <c r="AV25">
        <v>0</v>
      </c>
      <c r="AW25">
        <v>10</v>
      </c>
      <c r="AX25">
        <v>6</v>
      </c>
      <c r="AY25">
        <v>60</v>
      </c>
      <c r="AZ25">
        <v>57</v>
      </c>
      <c r="BA25">
        <v>37</v>
      </c>
      <c r="BB25">
        <v>64.91</v>
      </c>
      <c r="BC25">
        <v>11</v>
      </c>
      <c r="BD25">
        <v>8</v>
      </c>
      <c r="BE25">
        <v>72.73</v>
      </c>
      <c r="BF25">
        <v>0</v>
      </c>
      <c r="BG25">
        <v>0</v>
      </c>
      <c r="BH25">
        <v>0</v>
      </c>
      <c r="BI25">
        <v>37</v>
      </c>
      <c r="BJ25">
        <v>13</v>
      </c>
      <c r="BK25">
        <v>4</v>
      </c>
      <c r="BL25">
        <v>1</v>
      </c>
      <c r="BM25">
        <v>0</v>
      </c>
      <c r="BN25">
        <v>164</v>
      </c>
      <c r="BO25">
        <v>108</v>
      </c>
      <c r="BP25">
        <v>65.849999999999994</v>
      </c>
      <c r="BQ25">
        <v>34</v>
      </c>
      <c r="BR25">
        <v>16</v>
      </c>
      <c r="BS25">
        <v>47.06</v>
      </c>
      <c r="BT25">
        <v>60</v>
      </c>
      <c r="BU25">
        <v>33</v>
      </c>
      <c r="BV25">
        <v>55</v>
      </c>
      <c r="BW25">
        <v>68</v>
      </c>
      <c r="BX25">
        <v>43</v>
      </c>
      <c r="BY25">
        <v>63.24</v>
      </c>
      <c r="BZ25">
        <v>42</v>
      </c>
      <c r="CA25">
        <v>33</v>
      </c>
      <c r="CB25">
        <v>78.569999999999993</v>
      </c>
      <c r="CC25">
        <v>14.72</v>
      </c>
    </row>
    <row r="26" spans="1:81" ht="12" customHeight="1" x14ac:dyDescent="0.15">
      <c r="A26" s="3" t="s">
        <v>79</v>
      </c>
      <c r="B26" s="3" t="s">
        <v>80</v>
      </c>
      <c r="C26" s="3" t="s">
        <v>43</v>
      </c>
      <c r="D26" s="3">
        <v>94</v>
      </c>
      <c r="E26" t="s">
        <v>39</v>
      </c>
      <c r="F26" t="s">
        <v>53</v>
      </c>
      <c r="G26">
        <v>2</v>
      </c>
      <c r="H26">
        <v>1.84</v>
      </c>
      <c r="I26">
        <v>30</v>
      </c>
      <c r="J26">
        <v>8</v>
      </c>
      <c r="K26">
        <v>26.67</v>
      </c>
      <c r="L26">
        <v>472</v>
      </c>
      <c r="M26">
        <v>372</v>
      </c>
      <c r="N26">
        <v>78.81</v>
      </c>
      <c r="O26">
        <v>59.94</v>
      </c>
      <c r="P26">
        <v>112</v>
      </c>
      <c r="Q26">
        <v>10</v>
      </c>
      <c r="R26">
        <v>35</v>
      </c>
      <c r="S26">
        <v>67</v>
      </c>
      <c r="T26">
        <v>100</v>
      </c>
      <c r="U26">
        <v>19</v>
      </c>
      <c r="V26">
        <v>54</v>
      </c>
      <c r="W26">
        <v>27</v>
      </c>
      <c r="X26">
        <v>198</v>
      </c>
      <c r="Y26">
        <v>121</v>
      </c>
      <c r="Z26">
        <v>61.11</v>
      </c>
      <c r="AA26">
        <v>18</v>
      </c>
      <c r="AB26">
        <v>4</v>
      </c>
      <c r="AC26">
        <v>22.22</v>
      </c>
      <c r="AD26">
        <v>56</v>
      </c>
      <c r="AE26">
        <v>23</v>
      </c>
      <c r="AF26">
        <v>41.07</v>
      </c>
      <c r="AG26">
        <v>20</v>
      </c>
      <c r="AH26">
        <v>5</v>
      </c>
      <c r="AI26">
        <v>25</v>
      </c>
      <c r="AJ26">
        <v>8</v>
      </c>
      <c r="AK26">
        <v>3</v>
      </c>
      <c r="AL26">
        <v>37.5</v>
      </c>
      <c r="AM26">
        <v>21</v>
      </c>
      <c r="AN26">
        <v>5</v>
      </c>
      <c r="AO26">
        <v>23.81</v>
      </c>
      <c r="AP26">
        <v>7</v>
      </c>
      <c r="AQ26">
        <v>10</v>
      </c>
      <c r="AR26">
        <v>24</v>
      </c>
      <c r="AS26">
        <v>79</v>
      </c>
      <c r="AT26">
        <v>33</v>
      </c>
      <c r="AU26">
        <v>41.77</v>
      </c>
      <c r="AV26">
        <v>0</v>
      </c>
      <c r="AW26">
        <v>7</v>
      </c>
      <c r="AX26">
        <v>2</v>
      </c>
      <c r="AY26">
        <v>28.57</v>
      </c>
      <c r="AZ26">
        <v>85</v>
      </c>
      <c r="BA26">
        <v>65</v>
      </c>
      <c r="BB26">
        <v>76.47</v>
      </c>
      <c r="BC26">
        <v>9</v>
      </c>
      <c r="BD26">
        <v>7</v>
      </c>
      <c r="BE26">
        <v>77.78</v>
      </c>
      <c r="BF26">
        <v>2</v>
      </c>
      <c r="BG26">
        <v>1</v>
      </c>
      <c r="BH26">
        <v>50</v>
      </c>
      <c r="BI26">
        <v>48</v>
      </c>
      <c r="BJ26">
        <v>17</v>
      </c>
      <c r="BK26">
        <v>9</v>
      </c>
      <c r="BL26">
        <v>0</v>
      </c>
      <c r="BM26">
        <v>0</v>
      </c>
      <c r="BN26">
        <v>165</v>
      </c>
      <c r="BO26">
        <v>120</v>
      </c>
      <c r="BP26">
        <v>72.73</v>
      </c>
      <c r="BQ26">
        <v>39</v>
      </c>
      <c r="BR26">
        <v>18</v>
      </c>
      <c r="BS26">
        <v>46.15</v>
      </c>
      <c r="BT26">
        <v>78</v>
      </c>
      <c r="BU26">
        <v>54</v>
      </c>
      <c r="BV26">
        <v>69.23</v>
      </c>
      <c r="BW26">
        <v>98</v>
      </c>
      <c r="BX26">
        <v>76</v>
      </c>
      <c r="BY26">
        <v>77.55</v>
      </c>
      <c r="BZ26">
        <v>25</v>
      </c>
      <c r="CA26">
        <v>19</v>
      </c>
      <c r="CB26">
        <v>76</v>
      </c>
      <c r="CC26">
        <v>4.37</v>
      </c>
    </row>
    <row r="27" spans="1:81" ht="12" customHeight="1" x14ac:dyDescent="0.15">
      <c r="A27" s="3"/>
      <c r="B27" s="3"/>
      <c r="C27" s="3"/>
      <c r="D27" s="3"/>
      <c r="E27" t="s">
        <v>61</v>
      </c>
      <c r="F27" t="s">
        <v>62</v>
      </c>
      <c r="G27">
        <v>0</v>
      </c>
      <c r="H27">
        <v>0.4</v>
      </c>
      <c r="I27">
        <v>7</v>
      </c>
      <c r="J27">
        <v>2</v>
      </c>
      <c r="K27">
        <v>28.57</v>
      </c>
      <c r="L27">
        <v>316</v>
      </c>
      <c r="M27">
        <v>221</v>
      </c>
      <c r="N27">
        <v>69.94</v>
      </c>
      <c r="O27">
        <v>40.06</v>
      </c>
      <c r="P27">
        <v>134</v>
      </c>
      <c r="Q27">
        <v>38</v>
      </c>
      <c r="R27">
        <v>68</v>
      </c>
      <c r="S27">
        <v>28</v>
      </c>
      <c r="T27">
        <v>72</v>
      </c>
      <c r="U27">
        <v>44</v>
      </c>
      <c r="V27">
        <v>20</v>
      </c>
      <c r="W27">
        <v>8</v>
      </c>
      <c r="X27">
        <v>198</v>
      </c>
      <c r="Y27">
        <v>74</v>
      </c>
      <c r="Z27">
        <v>37.369999999999997</v>
      </c>
      <c r="AA27">
        <v>4</v>
      </c>
      <c r="AB27">
        <v>0</v>
      </c>
      <c r="AC27">
        <v>0</v>
      </c>
      <c r="AD27">
        <v>19</v>
      </c>
      <c r="AE27">
        <v>6</v>
      </c>
      <c r="AF27">
        <v>31.58</v>
      </c>
      <c r="AG27">
        <v>41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9</v>
      </c>
      <c r="AN27">
        <v>3</v>
      </c>
      <c r="AO27">
        <v>33.33</v>
      </c>
      <c r="AP27">
        <v>4</v>
      </c>
      <c r="AQ27">
        <v>3</v>
      </c>
      <c r="AR27">
        <v>6</v>
      </c>
      <c r="AS27">
        <v>85</v>
      </c>
      <c r="AT27">
        <v>20</v>
      </c>
      <c r="AU27">
        <v>23.53</v>
      </c>
      <c r="AV27">
        <v>2</v>
      </c>
      <c r="AW27">
        <v>30</v>
      </c>
      <c r="AX27">
        <v>8</v>
      </c>
      <c r="AY27">
        <v>26.67</v>
      </c>
      <c r="AZ27">
        <v>79</v>
      </c>
      <c r="BA27">
        <v>46</v>
      </c>
      <c r="BB27">
        <v>58.23</v>
      </c>
      <c r="BC27">
        <v>9</v>
      </c>
      <c r="BD27">
        <v>1</v>
      </c>
      <c r="BE27">
        <v>11.11</v>
      </c>
      <c r="BF27">
        <v>3</v>
      </c>
      <c r="BG27">
        <v>1</v>
      </c>
      <c r="BH27">
        <v>33.33</v>
      </c>
      <c r="BI27">
        <v>51</v>
      </c>
      <c r="BJ27">
        <v>20</v>
      </c>
      <c r="BK27">
        <v>7</v>
      </c>
      <c r="BL27">
        <v>1</v>
      </c>
      <c r="BM27">
        <v>0</v>
      </c>
      <c r="BN27">
        <v>153</v>
      </c>
      <c r="BO27">
        <v>94</v>
      </c>
      <c r="BP27">
        <v>61.44</v>
      </c>
      <c r="BQ27">
        <v>40</v>
      </c>
      <c r="BR27">
        <v>18</v>
      </c>
      <c r="BS27">
        <v>45</v>
      </c>
      <c r="BT27">
        <v>24</v>
      </c>
      <c r="BU27">
        <v>13</v>
      </c>
      <c r="BV27">
        <v>54.17</v>
      </c>
      <c r="BW27">
        <v>77</v>
      </c>
      <c r="BX27">
        <v>24</v>
      </c>
      <c r="BY27">
        <v>31.17</v>
      </c>
      <c r="BZ27">
        <v>24</v>
      </c>
      <c r="CA27">
        <v>12</v>
      </c>
      <c r="CB27">
        <v>50</v>
      </c>
      <c r="CC27">
        <v>13.46</v>
      </c>
    </row>
    <row r="28" spans="1:81" ht="12" customHeight="1" x14ac:dyDescent="0.15">
      <c r="A28" s="3" t="s">
        <v>81</v>
      </c>
      <c r="B28" s="3" t="s">
        <v>82</v>
      </c>
      <c r="C28" s="3" t="s">
        <v>43</v>
      </c>
      <c r="D28" s="3">
        <v>96</v>
      </c>
      <c r="E28" t="s">
        <v>39</v>
      </c>
      <c r="F28" t="s">
        <v>44</v>
      </c>
      <c r="G28">
        <v>2</v>
      </c>
      <c r="H28">
        <v>1.74</v>
      </c>
      <c r="I28">
        <v>18</v>
      </c>
      <c r="J28">
        <v>8</v>
      </c>
      <c r="K28">
        <v>44.44</v>
      </c>
      <c r="L28">
        <v>429</v>
      </c>
      <c r="M28">
        <v>308</v>
      </c>
      <c r="N28">
        <v>71.790000000000006</v>
      </c>
      <c r="O28">
        <v>50.98</v>
      </c>
      <c r="P28">
        <v>167</v>
      </c>
      <c r="Q28">
        <v>38</v>
      </c>
      <c r="R28">
        <v>51</v>
      </c>
      <c r="S28">
        <v>78</v>
      </c>
      <c r="T28">
        <v>106</v>
      </c>
      <c r="U28">
        <v>51</v>
      </c>
      <c r="V28">
        <v>44</v>
      </c>
      <c r="W28">
        <v>11</v>
      </c>
      <c r="X28">
        <v>170</v>
      </c>
      <c r="Y28">
        <v>81</v>
      </c>
      <c r="Z28">
        <v>47.65</v>
      </c>
      <c r="AA28">
        <v>9</v>
      </c>
      <c r="AB28">
        <v>4</v>
      </c>
      <c r="AC28">
        <v>44.44</v>
      </c>
      <c r="AD28">
        <v>41</v>
      </c>
      <c r="AE28">
        <v>15</v>
      </c>
      <c r="AF28">
        <v>36.590000000000003</v>
      </c>
      <c r="AG28">
        <v>19</v>
      </c>
      <c r="AH28">
        <v>2</v>
      </c>
      <c r="AI28">
        <v>10.53</v>
      </c>
      <c r="AJ28">
        <v>1</v>
      </c>
      <c r="AK28">
        <v>0</v>
      </c>
      <c r="AL28">
        <v>0</v>
      </c>
      <c r="AM28">
        <v>11</v>
      </c>
      <c r="AN28">
        <v>1</v>
      </c>
      <c r="AO28">
        <v>9.09</v>
      </c>
      <c r="AP28">
        <v>2</v>
      </c>
      <c r="AQ28">
        <v>8</v>
      </c>
      <c r="AR28">
        <v>12</v>
      </c>
      <c r="AS28">
        <v>67</v>
      </c>
      <c r="AT28">
        <v>16</v>
      </c>
      <c r="AU28">
        <v>23.88</v>
      </c>
      <c r="AV28">
        <v>0</v>
      </c>
      <c r="AW28">
        <v>15</v>
      </c>
      <c r="AX28">
        <v>3</v>
      </c>
      <c r="AY28">
        <v>20</v>
      </c>
      <c r="AZ28">
        <v>75</v>
      </c>
      <c r="BA28">
        <v>55</v>
      </c>
      <c r="BB28">
        <v>73.33</v>
      </c>
      <c r="BC28">
        <v>10</v>
      </c>
      <c r="BD28">
        <v>4</v>
      </c>
      <c r="BE28">
        <v>40</v>
      </c>
      <c r="BF28">
        <v>1</v>
      </c>
      <c r="BG28">
        <v>1</v>
      </c>
      <c r="BH28">
        <v>100</v>
      </c>
      <c r="BI28">
        <v>69</v>
      </c>
      <c r="BJ28">
        <v>10</v>
      </c>
      <c r="BK28">
        <v>5</v>
      </c>
      <c r="BL28">
        <v>0</v>
      </c>
      <c r="BM28">
        <v>0</v>
      </c>
      <c r="BN28">
        <v>184</v>
      </c>
      <c r="BO28">
        <v>111</v>
      </c>
      <c r="BP28">
        <v>60.33</v>
      </c>
      <c r="BQ28">
        <v>44</v>
      </c>
      <c r="BR28">
        <v>22</v>
      </c>
      <c r="BS28">
        <v>50</v>
      </c>
      <c r="BT28">
        <v>78</v>
      </c>
      <c r="BU28">
        <v>37</v>
      </c>
      <c r="BV28">
        <v>47.44</v>
      </c>
      <c r="BW28">
        <v>110</v>
      </c>
      <c r="BX28">
        <v>65</v>
      </c>
      <c r="BY28">
        <v>59.09</v>
      </c>
      <c r="BZ28">
        <v>39</v>
      </c>
      <c r="CA28">
        <v>30</v>
      </c>
      <c r="CB28">
        <v>76.92</v>
      </c>
      <c r="CC28">
        <v>5.18</v>
      </c>
    </row>
    <row r="29" spans="1:81" ht="12" customHeight="1" x14ac:dyDescent="0.15">
      <c r="A29" s="3"/>
      <c r="B29" s="3"/>
      <c r="C29" s="3"/>
      <c r="D29" s="3"/>
      <c r="E29" t="s">
        <v>65</v>
      </c>
      <c r="F29" t="s">
        <v>83</v>
      </c>
      <c r="G29">
        <v>0</v>
      </c>
      <c r="H29">
        <v>1.31</v>
      </c>
      <c r="I29">
        <v>15</v>
      </c>
      <c r="J29">
        <v>3</v>
      </c>
      <c r="K29">
        <v>20</v>
      </c>
      <c r="L29">
        <v>382</v>
      </c>
      <c r="M29">
        <v>260</v>
      </c>
      <c r="N29">
        <v>68.06</v>
      </c>
      <c r="O29">
        <v>49.02</v>
      </c>
      <c r="P29">
        <v>154</v>
      </c>
      <c r="Q29">
        <v>21</v>
      </c>
      <c r="R29">
        <v>68</v>
      </c>
      <c r="S29">
        <v>65</v>
      </c>
      <c r="T29">
        <v>94</v>
      </c>
      <c r="U29">
        <v>46</v>
      </c>
      <c r="V29">
        <v>26</v>
      </c>
      <c r="W29">
        <v>22</v>
      </c>
      <c r="X29">
        <v>170</v>
      </c>
      <c r="Y29">
        <v>88</v>
      </c>
      <c r="Z29">
        <v>51.76</v>
      </c>
      <c r="AA29">
        <v>8</v>
      </c>
      <c r="AB29">
        <v>2</v>
      </c>
      <c r="AC29">
        <v>25</v>
      </c>
      <c r="AD29">
        <v>33</v>
      </c>
      <c r="AE29">
        <v>8</v>
      </c>
      <c r="AF29">
        <v>24.24</v>
      </c>
      <c r="AG29">
        <v>33</v>
      </c>
      <c r="AH29">
        <v>7</v>
      </c>
      <c r="AI29">
        <v>21.21</v>
      </c>
      <c r="AJ29">
        <v>7</v>
      </c>
      <c r="AK29">
        <v>4</v>
      </c>
      <c r="AL29">
        <v>57.14</v>
      </c>
      <c r="AM29">
        <v>15</v>
      </c>
      <c r="AN29">
        <v>5</v>
      </c>
      <c r="AO29">
        <v>33.33</v>
      </c>
      <c r="AP29">
        <v>5</v>
      </c>
      <c r="AQ29">
        <v>5</v>
      </c>
      <c r="AR29">
        <v>16</v>
      </c>
      <c r="AS29">
        <v>75</v>
      </c>
      <c r="AT29">
        <v>20</v>
      </c>
      <c r="AU29">
        <v>26.67</v>
      </c>
      <c r="AV29">
        <v>2</v>
      </c>
      <c r="AW29">
        <v>18</v>
      </c>
      <c r="AX29">
        <v>8</v>
      </c>
      <c r="AY29">
        <v>44.44</v>
      </c>
      <c r="AZ29">
        <v>67</v>
      </c>
      <c r="BA29">
        <v>51</v>
      </c>
      <c r="BB29">
        <v>76.12</v>
      </c>
      <c r="BC29">
        <v>10</v>
      </c>
      <c r="BD29">
        <v>6</v>
      </c>
      <c r="BE29">
        <v>60</v>
      </c>
      <c r="BF29">
        <v>5</v>
      </c>
      <c r="BG29">
        <v>3</v>
      </c>
      <c r="BH29">
        <v>60</v>
      </c>
      <c r="BI29">
        <v>50</v>
      </c>
      <c r="BJ29">
        <v>18</v>
      </c>
      <c r="BK29">
        <v>4</v>
      </c>
      <c r="BL29">
        <v>1</v>
      </c>
      <c r="BM29">
        <v>0</v>
      </c>
      <c r="BN29">
        <v>170</v>
      </c>
      <c r="BO29">
        <v>102</v>
      </c>
      <c r="BP29">
        <v>60</v>
      </c>
      <c r="BQ29">
        <v>54</v>
      </c>
      <c r="BR29">
        <v>32</v>
      </c>
      <c r="BS29">
        <v>59.26</v>
      </c>
      <c r="BT29">
        <v>57</v>
      </c>
      <c r="BU29">
        <v>30</v>
      </c>
      <c r="BV29">
        <v>52.63</v>
      </c>
      <c r="BW29">
        <v>89</v>
      </c>
      <c r="BX29">
        <v>46</v>
      </c>
      <c r="BY29">
        <v>51.69</v>
      </c>
      <c r="BZ29">
        <v>33</v>
      </c>
      <c r="CA29">
        <v>28</v>
      </c>
      <c r="CB29">
        <v>84.85</v>
      </c>
      <c r="CC29">
        <v>10.47</v>
      </c>
    </row>
    <row r="30" spans="1:81" ht="12" customHeight="1" x14ac:dyDescent="0.15">
      <c r="A30" s="3" t="s">
        <v>84</v>
      </c>
      <c r="B30" s="3" t="s">
        <v>85</v>
      </c>
      <c r="C30" s="3" t="s">
        <v>43</v>
      </c>
      <c r="D30" s="3">
        <v>95</v>
      </c>
      <c r="E30" t="s">
        <v>39</v>
      </c>
      <c r="F30" t="s">
        <v>46</v>
      </c>
      <c r="G30">
        <v>6</v>
      </c>
      <c r="H30">
        <v>1.77</v>
      </c>
      <c r="I30">
        <v>20</v>
      </c>
      <c r="J30">
        <v>11</v>
      </c>
      <c r="K30">
        <v>55</v>
      </c>
      <c r="L30">
        <v>514</v>
      </c>
      <c r="M30">
        <v>411</v>
      </c>
      <c r="N30">
        <v>79.959999999999994</v>
      </c>
      <c r="O30">
        <v>62.41</v>
      </c>
      <c r="P30">
        <v>132</v>
      </c>
      <c r="Q30">
        <v>4</v>
      </c>
      <c r="R30">
        <v>27</v>
      </c>
      <c r="S30">
        <v>101</v>
      </c>
      <c r="T30">
        <v>95</v>
      </c>
      <c r="U30">
        <v>19</v>
      </c>
      <c r="V30">
        <v>44</v>
      </c>
      <c r="W30">
        <v>32</v>
      </c>
      <c r="X30">
        <v>155</v>
      </c>
      <c r="Y30">
        <v>78</v>
      </c>
      <c r="Z30">
        <v>50.32</v>
      </c>
      <c r="AA30">
        <v>13</v>
      </c>
      <c r="AB30">
        <v>6</v>
      </c>
      <c r="AC30">
        <v>46.15</v>
      </c>
      <c r="AD30">
        <v>67</v>
      </c>
      <c r="AE30">
        <v>17</v>
      </c>
      <c r="AF30">
        <v>25.37</v>
      </c>
      <c r="AG30">
        <v>13</v>
      </c>
      <c r="AH30">
        <v>3</v>
      </c>
      <c r="AI30">
        <v>23.08</v>
      </c>
      <c r="AJ30">
        <v>7</v>
      </c>
      <c r="AK30">
        <v>2</v>
      </c>
      <c r="AL30">
        <v>28.57</v>
      </c>
      <c r="AM30">
        <v>29</v>
      </c>
      <c r="AN30">
        <v>8</v>
      </c>
      <c r="AO30">
        <v>27.59</v>
      </c>
      <c r="AP30">
        <v>7</v>
      </c>
      <c r="AQ30">
        <v>5</v>
      </c>
      <c r="AR30">
        <v>22</v>
      </c>
      <c r="AS30">
        <v>70</v>
      </c>
      <c r="AT30">
        <v>27</v>
      </c>
      <c r="AU30">
        <v>38.57</v>
      </c>
      <c r="AV30">
        <v>0</v>
      </c>
      <c r="AW30">
        <v>4</v>
      </c>
      <c r="AX30">
        <v>2</v>
      </c>
      <c r="AY30">
        <v>50</v>
      </c>
      <c r="AZ30">
        <v>54</v>
      </c>
      <c r="BA30">
        <v>38</v>
      </c>
      <c r="BB30">
        <v>70.37</v>
      </c>
      <c r="BC30">
        <v>11</v>
      </c>
      <c r="BD30">
        <v>6</v>
      </c>
      <c r="BE30">
        <v>54.55</v>
      </c>
      <c r="BF30">
        <v>1</v>
      </c>
      <c r="BG30">
        <v>1</v>
      </c>
      <c r="BH30">
        <v>100</v>
      </c>
      <c r="BI30">
        <v>26</v>
      </c>
      <c r="BJ30">
        <v>4</v>
      </c>
      <c r="BK30">
        <v>6</v>
      </c>
      <c r="BL30">
        <v>1</v>
      </c>
      <c r="BM30">
        <v>0</v>
      </c>
      <c r="BN30">
        <v>180</v>
      </c>
      <c r="BO30">
        <v>136</v>
      </c>
      <c r="BP30">
        <v>75.56</v>
      </c>
      <c r="BQ30">
        <v>46</v>
      </c>
      <c r="BR30">
        <v>19</v>
      </c>
      <c r="BS30">
        <v>41.3</v>
      </c>
      <c r="BT30">
        <v>78</v>
      </c>
      <c r="BU30">
        <v>52</v>
      </c>
      <c r="BV30">
        <v>66.67</v>
      </c>
      <c r="BW30">
        <v>75</v>
      </c>
      <c r="BX30">
        <v>67</v>
      </c>
      <c r="BY30">
        <v>89.33</v>
      </c>
      <c r="BZ30">
        <v>32</v>
      </c>
      <c r="CA30">
        <v>29</v>
      </c>
      <c r="CB30">
        <v>90.63</v>
      </c>
      <c r="CC30">
        <v>8.74</v>
      </c>
    </row>
    <row r="31" spans="1:81" ht="12" customHeight="1" x14ac:dyDescent="0.15">
      <c r="A31" s="3"/>
      <c r="B31" s="3"/>
      <c r="C31" s="3"/>
      <c r="D31" s="3"/>
      <c r="E31" t="s">
        <v>72</v>
      </c>
      <c r="F31" t="s">
        <v>86</v>
      </c>
      <c r="G31">
        <v>0</v>
      </c>
      <c r="H31">
        <v>0.1</v>
      </c>
      <c r="I31">
        <v>4</v>
      </c>
      <c r="J31">
        <v>2</v>
      </c>
      <c r="K31">
        <v>50</v>
      </c>
      <c r="L31">
        <v>319</v>
      </c>
      <c r="M31">
        <v>229</v>
      </c>
      <c r="N31">
        <v>71.790000000000006</v>
      </c>
      <c r="O31">
        <v>37.590000000000003</v>
      </c>
      <c r="P31">
        <v>126</v>
      </c>
      <c r="Q31">
        <v>43</v>
      </c>
      <c r="R31">
        <v>62</v>
      </c>
      <c r="S31">
        <v>21</v>
      </c>
      <c r="T31">
        <v>80</v>
      </c>
      <c r="U31">
        <v>48</v>
      </c>
      <c r="V31">
        <v>31</v>
      </c>
      <c r="W31">
        <v>1</v>
      </c>
      <c r="X31">
        <v>155</v>
      </c>
      <c r="Y31">
        <v>74</v>
      </c>
      <c r="Z31">
        <v>47.74</v>
      </c>
      <c r="AA31">
        <v>4</v>
      </c>
      <c r="AB31">
        <v>2</v>
      </c>
      <c r="AC31">
        <v>50</v>
      </c>
      <c r="AD31">
        <v>6</v>
      </c>
      <c r="AE31">
        <v>2</v>
      </c>
      <c r="AF31">
        <v>33.33</v>
      </c>
      <c r="AG31">
        <v>23</v>
      </c>
      <c r="AH31">
        <v>1</v>
      </c>
      <c r="AI31">
        <v>4.3499999999999996</v>
      </c>
      <c r="AJ31">
        <v>0</v>
      </c>
      <c r="AK31">
        <v>0</v>
      </c>
      <c r="AL31">
        <v>0</v>
      </c>
      <c r="AM31">
        <v>2</v>
      </c>
      <c r="AN31">
        <v>0</v>
      </c>
      <c r="AO31">
        <v>0</v>
      </c>
      <c r="AP31">
        <v>0</v>
      </c>
      <c r="AQ31">
        <v>2</v>
      </c>
      <c r="AR31">
        <v>4</v>
      </c>
      <c r="AS31">
        <v>54</v>
      </c>
      <c r="AT31">
        <v>16</v>
      </c>
      <c r="AU31">
        <v>29.63</v>
      </c>
      <c r="AV31">
        <v>6</v>
      </c>
      <c r="AW31">
        <v>20</v>
      </c>
      <c r="AX31">
        <v>13</v>
      </c>
      <c r="AY31">
        <v>65</v>
      </c>
      <c r="AZ31">
        <v>70</v>
      </c>
      <c r="BA31">
        <v>43</v>
      </c>
      <c r="BB31">
        <v>61.43</v>
      </c>
      <c r="BC31">
        <v>11</v>
      </c>
      <c r="BD31">
        <v>4</v>
      </c>
      <c r="BE31">
        <v>36.36</v>
      </c>
      <c r="BF31">
        <v>1</v>
      </c>
      <c r="BG31">
        <v>1</v>
      </c>
      <c r="BH31">
        <v>100</v>
      </c>
      <c r="BI31">
        <v>52</v>
      </c>
      <c r="BJ31">
        <v>22</v>
      </c>
      <c r="BK31">
        <v>3</v>
      </c>
      <c r="BL31">
        <v>0</v>
      </c>
      <c r="BM31">
        <v>0</v>
      </c>
      <c r="BN31">
        <v>132</v>
      </c>
      <c r="BO31">
        <v>73</v>
      </c>
      <c r="BP31">
        <v>55.3</v>
      </c>
      <c r="BQ31">
        <v>56</v>
      </c>
      <c r="BR31">
        <v>27</v>
      </c>
      <c r="BS31">
        <v>48.21</v>
      </c>
      <c r="BT31">
        <v>25</v>
      </c>
      <c r="BU31">
        <v>13</v>
      </c>
      <c r="BV31">
        <v>52</v>
      </c>
      <c r="BW31">
        <v>70</v>
      </c>
      <c r="BX31">
        <v>20</v>
      </c>
      <c r="BY31">
        <v>28.57</v>
      </c>
      <c r="BZ31">
        <v>14</v>
      </c>
      <c r="CA31">
        <v>11</v>
      </c>
      <c r="CB31">
        <v>78.569999999999993</v>
      </c>
      <c r="CC31">
        <v>22.31</v>
      </c>
    </row>
    <row r="32" spans="1:81" ht="12" customHeight="1" x14ac:dyDescent="0.15">
      <c r="A32" s="3"/>
      <c r="B32" s="3"/>
      <c r="C32" s="3"/>
      <c r="D32" s="3"/>
    </row>
    <row r="33" spans="1:4" ht="12" customHeight="1" x14ac:dyDescent="0.15">
      <c r="A33" s="3"/>
      <c r="B33" s="3"/>
      <c r="C33" s="3"/>
      <c r="D33" s="3"/>
    </row>
    <row r="34" spans="1:4" ht="12" customHeight="1" x14ac:dyDescent="0.15">
      <c r="A34" s="3"/>
      <c r="B34" s="3"/>
      <c r="C34" s="3"/>
      <c r="D34" s="3"/>
    </row>
    <row r="35" spans="1:4" ht="12" customHeight="1" x14ac:dyDescent="0.15">
      <c r="A35" s="3"/>
      <c r="B35" s="3"/>
      <c r="C35" s="3"/>
      <c r="D35" s="3"/>
    </row>
    <row r="36" spans="1:4" ht="12" customHeight="1" x14ac:dyDescent="0.15">
      <c r="A36" s="3"/>
      <c r="B36" s="3"/>
      <c r="C36" s="3"/>
      <c r="D36" s="3"/>
    </row>
    <row r="37" spans="1:4" ht="12" customHeight="1" x14ac:dyDescent="0.15">
      <c r="A37" s="3"/>
      <c r="B37" s="3"/>
      <c r="C37" s="3"/>
      <c r="D37" s="3"/>
    </row>
    <row r="38" spans="1:4" ht="12" customHeight="1" x14ac:dyDescent="0.15">
      <c r="A38" s="3"/>
      <c r="B38" s="3"/>
      <c r="C38" s="3"/>
      <c r="D38" s="3"/>
    </row>
    <row r="39" spans="1:4" ht="12" customHeight="1" x14ac:dyDescent="0.15">
      <c r="A39" s="3"/>
      <c r="B39" s="3"/>
      <c r="C39" s="3"/>
      <c r="D39" s="3"/>
    </row>
    <row r="40" spans="1:4" ht="12" customHeight="1" x14ac:dyDescent="0.15">
      <c r="A40" s="3"/>
      <c r="B40" s="3"/>
      <c r="C40" s="3"/>
      <c r="D40" s="3"/>
    </row>
    <row r="41" spans="1:4" ht="12" customHeight="1" x14ac:dyDescent="0.15">
      <c r="A41" s="3"/>
      <c r="B41" s="3"/>
      <c r="C41" s="3"/>
      <c r="D41" s="3"/>
    </row>
    <row r="42" spans="1:4" ht="12" customHeight="1" x14ac:dyDescent="0.15">
      <c r="A42" s="3"/>
      <c r="B42" s="3"/>
      <c r="C42" s="3"/>
      <c r="D42" s="3"/>
    </row>
    <row r="43" spans="1:4" ht="12" customHeight="1" x14ac:dyDescent="0.15">
      <c r="A43" s="3"/>
      <c r="B43" s="3"/>
      <c r="C43" s="3"/>
      <c r="D43" s="3"/>
    </row>
    <row r="44" spans="1:4" ht="12" customHeight="1" x14ac:dyDescent="0.15">
      <c r="A44" s="3"/>
      <c r="B44" s="3"/>
      <c r="C44" s="3"/>
      <c r="D44" s="3"/>
    </row>
    <row r="45" spans="1:4" ht="12" customHeight="1" x14ac:dyDescent="0.15">
      <c r="A45" s="3"/>
      <c r="B45" s="3"/>
      <c r="C45" s="3"/>
      <c r="D45" s="3"/>
    </row>
    <row r="46" spans="1:4" ht="12" customHeight="1" x14ac:dyDescent="0.15">
      <c r="A46" s="3"/>
      <c r="B46" s="3"/>
      <c r="C46" s="3"/>
      <c r="D46" s="3"/>
    </row>
    <row r="47" spans="1:4" ht="12" customHeight="1" x14ac:dyDescent="0.15">
      <c r="A47" s="3"/>
      <c r="B47" s="3"/>
      <c r="C47" s="3"/>
      <c r="D47" s="3"/>
    </row>
    <row r="48" spans="1:4" ht="12" customHeight="1" x14ac:dyDescent="0.15">
      <c r="A48" s="3"/>
      <c r="B48" s="3"/>
      <c r="C48" s="3"/>
      <c r="D48" s="3"/>
    </row>
    <row r="49" spans="1:4" ht="12" customHeight="1" x14ac:dyDescent="0.15">
      <c r="A49" s="3"/>
      <c r="B49" s="3"/>
      <c r="C49" s="3"/>
      <c r="D49" s="3"/>
    </row>
    <row r="50" spans="1:4" ht="12" customHeight="1" x14ac:dyDescent="0.15">
      <c r="A50" s="3"/>
      <c r="B50" s="3"/>
      <c r="C50" s="3"/>
      <c r="D50" s="3"/>
    </row>
    <row r="51" spans="1:4" ht="12" customHeight="1" x14ac:dyDescent="0.15">
      <c r="A51" s="3"/>
      <c r="B51" s="3"/>
      <c r="C51" s="3"/>
      <c r="D51" s="3"/>
    </row>
  </sheetData>
  <mergeCells count="116">
    <mergeCell ref="D50:D51"/>
    <mergeCell ref="D44:D45"/>
    <mergeCell ref="A30:A31"/>
    <mergeCell ref="D22:D23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34:A35"/>
    <mergeCell ref="A28:A29"/>
    <mergeCell ref="C28:C29"/>
    <mergeCell ref="P1:S1"/>
    <mergeCell ref="X1:Z1"/>
    <mergeCell ref="AJ1:AL1"/>
    <mergeCell ref="BT1:BV1"/>
    <mergeCell ref="B36:B37"/>
    <mergeCell ref="A4:A5"/>
    <mergeCell ref="BF1:BH1"/>
    <mergeCell ref="B20:B21"/>
    <mergeCell ref="D42:D43"/>
    <mergeCell ref="D20:D21"/>
    <mergeCell ref="D14:D15"/>
    <mergeCell ref="A38:A39"/>
    <mergeCell ref="B4:B5"/>
    <mergeCell ref="C38:C39"/>
    <mergeCell ref="B22:B23"/>
    <mergeCell ref="A40:A41"/>
    <mergeCell ref="D6:D7"/>
    <mergeCell ref="A24:A25"/>
    <mergeCell ref="AZ1:BB1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A14:A15"/>
    <mergeCell ref="C48:C49"/>
    <mergeCell ref="B46:B47"/>
    <mergeCell ref="B50:B5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C34:C35"/>
    <mergeCell ref="D26:D27"/>
    <mergeCell ref="AS1:AU1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AA1:AC1"/>
    <mergeCell ref="D10:D11"/>
    <mergeCell ref="C6:C7"/>
    <mergeCell ref="B26:B27"/>
    <mergeCell ref="C14:C15"/>
    <mergeCell ref="T1:W1"/>
    <mergeCell ref="AD1:AF1"/>
    <mergeCell ref="B16:B17"/>
    <mergeCell ref="C18:C19"/>
    <mergeCell ref="B18:B19"/>
    <mergeCell ref="C20:C21"/>
    <mergeCell ref="BQ1:BS1"/>
    <mergeCell ref="B8:B9"/>
    <mergeCell ref="D28:D29"/>
    <mergeCell ref="C30:C31"/>
    <mergeCell ref="B12:B13"/>
    <mergeCell ref="C24:C25"/>
    <mergeCell ref="A16:A17"/>
    <mergeCell ref="C10:C11"/>
    <mergeCell ref="C16:C17"/>
    <mergeCell ref="B42:B43"/>
    <mergeCell ref="D36:D37"/>
    <mergeCell ref="B14:B15"/>
    <mergeCell ref="D32:D33"/>
    <mergeCell ref="B40:B41"/>
    <mergeCell ref="D38:D39"/>
    <mergeCell ref="D34:D35"/>
    <mergeCell ref="D40:D41"/>
    <mergeCell ref="C42:C43"/>
    <mergeCell ref="A36:A37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9"/>
  <sheetViews>
    <sheetView workbookViewId="0"/>
  </sheetViews>
  <sheetFormatPr baseColWidth="10" defaultColWidth="8.83203125" defaultRowHeight="14" x14ac:dyDescent="0.15"/>
  <cols>
    <col min="3" max="3" width="26" customWidth="1"/>
  </cols>
  <sheetData>
    <row r="1" spans="1:27" x14ac:dyDescent="0.15">
      <c r="A1" s="2" t="s">
        <v>87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88</v>
      </c>
      <c r="K1" s="2" t="s">
        <v>89</v>
      </c>
      <c r="L1" s="2" t="s">
        <v>90</v>
      </c>
      <c r="M1" s="2" t="s">
        <v>91</v>
      </c>
      <c r="N1" s="2" t="s">
        <v>92</v>
      </c>
      <c r="O1" s="2" t="s">
        <v>93</v>
      </c>
      <c r="P1" s="2" t="s">
        <v>94</v>
      </c>
      <c r="Q1" s="2" t="s">
        <v>95</v>
      </c>
      <c r="R1" s="2" t="s">
        <v>96</v>
      </c>
      <c r="S1" s="2" t="s">
        <v>97</v>
      </c>
      <c r="T1" s="2" t="s">
        <v>98</v>
      </c>
      <c r="U1" s="2" t="s">
        <v>99</v>
      </c>
      <c r="V1" s="2" t="s">
        <v>100</v>
      </c>
      <c r="W1" s="2" t="s">
        <v>101</v>
      </c>
      <c r="X1" s="2" t="s">
        <v>102</v>
      </c>
      <c r="Y1" s="2" t="s">
        <v>103</v>
      </c>
      <c r="Z1" s="2" t="s">
        <v>104</v>
      </c>
      <c r="AA1" s="2" t="s">
        <v>105</v>
      </c>
    </row>
    <row r="2" spans="1:27" x14ac:dyDescent="0.15">
      <c r="A2">
        <v>1</v>
      </c>
      <c r="B2" t="s">
        <v>84</v>
      </c>
      <c r="C2" t="s">
        <v>85</v>
      </c>
      <c r="D2" t="s">
        <v>43</v>
      </c>
      <c r="E2">
        <v>95</v>
      </c>
      <c r="F2" t="s">
        <v>39</v>
      </c>
      <c r="G2" t="s">
        <v>46</v>
      </c>
      <c r="H2">
        <v>6</v>
      </c>
      <c r="I2">
        <v>1.77</v>
      </c>
      <c r="J2">
        <v>20</v>
      </c>
      <c r="K2">
        <v>11</v>
      </c>
      <c r="L2">
        <v>55</v>
      </c>
      <c r="M2">
        <v>514</v>
      </c>
      <c r="N2">
        <v>411</v>
      </c>
      <c r="O2">
        <v>79.959999999999994</v>
      </c>
      <c r="P2">
        <v>62.41</v>
      </c>
      <c r="Q2">
        <v>132</v>
      </c>
      <c r="R2">
        <v>4</v>
      </c>
      <c r="S2">
        <v>27</v>
      </c>
      <c r="T2">
        <v>101</v>
      </c>
      <c r="U2">
        <v>95</v>
      </c>
      <c r="V2">
        <v>19</v>
      </c>
      <c r="W2">
        <v>44</v>
      </c>
      <c r="X2">
        <v>32</v>
      </c>
      <c r="Y2">
        <v>155</v>
      </c>
      <c r="Z2">
        <v>78</v>
      </c>
      <c r="AA2">
        <v>50.32</v>
      </c>
    </row>
    <row r="3" spans="1:27" x14ac:dyDescent="0.15">
      <c r="A3">
        <v>1</v>
      </c>
      <c r="B3" t="s">
        <v>84</v>
      </c>
      <c r="C3" t="s">
        <v>85</v>
      </c>
      <c r="D3" t="s">
        <v>43</v>
      </c>
      <c r="E3">
        <v>95</v>
      </c>
      <c r="F3" t="s">
        <v>72</v>
      </c>
      <c r="G3" t="s">
        <v>86</v>
      </c>
      <c r="H3">
        <v>0</v>
      </c>
      <c r="I3">
        <v>0.1</v>
      </c>
      <c r="J3">
        <v>4</v>
      </c>
      <c r="K3">
        <v>2</v>
      </c>
      <c r="L3">
        <v>50</v>
      </c>
      <c r="M3">
        <v>319</v>
      </c>
      <c r="N3">
        <v>229</v>
      </c>
      <c r="O3">
        <v>71.790000000000006</v>
      </c>
      <c r="P3">
        <v>37.590000000000003</v>
      </c>
      <c r="Q3">
        <v>126</v>
      </c>
      <c r="R3">
        <v>43</v>
      </c>
      <c r="S3">
        <v>62</v>
      </c>
      <c r="T3">
        <v>21</v>
      </c>
      <c r="U3">
        <v>80</v>
      </c>
      <c r="V3">
        <v>48</v>
      </c>
      <c r="W3">
        <v>31</v>
      </c>
      <c r="X3">
        <v>1</v>
      </c>
      <c r="Y3">
        <v>155</v>
      </c>
      <c r="Z3">
        <v>74</v>
      </c>
      <c r="AA3">
        <v>47.74</v>
      </c>
    </row>
    <row r="4" spans="1:27" x14ac:dyDescent="0.15">
      <c r="A4">
        <v>2</v>
      </c>
      <c r="B4" t="s">
        <v>81</v>
      </c>
      <c r="C4" t="s">
        <v>82</v>
      </c>
      <c r="D4" t="s">
        <v>43</v>
      </c>
      <c r="E4">
        <v>96</v>
      </c>
      <c r="F4" t="s">
        <v>39</v>
      </c>
      <c r="G4" t="s">
        <v>44</v>
      </c>
      <c r="H4">
        <v>2</v>
      </c>
      <c r="I4">
        <v>1.74</v>
      </c>
      <c r="J4">
        <v>18</v>
      </c>
      <c r="K4">
        <v>8</v>
      </c>
      <c r="L4">
        <v>44.44</v>
      </c>
      <c r="M4">
        <v>429</v>
      </c>
      <c r="N4">
        <v>308</v>
      </c>
      <c r="O4">
        <v>71.790000000000006</v>
      </c>
      <c r="P4">
        <v>50.98</v>
      </c>
      <c r="Q4">
        <v>167</v>
      </c>
      <c r="R4">
        <v>38</v>
      </c>
      <c r="S4">
        <v>51</v>
      </c>
      <c r="T4">
        <v>78</v>
      </c>
      <c r="U4">
        <v>106</v>
      </c>
      <c r="V4">
        <v>51</v>
      </c>
      <c r="W4">
        <v>44</v>
      </c>
      <c r="X4">
        <v>11</v>
      </c>
      <c r="Y4">
        <v>170</v>
      </c>
      <c r="Z4">
        <v>81</v>
      </c>
      <c r="AA4">
        <v>47.65</v>
      </c>
    </row>
    <row r="5" spans="1:27" x14ac:dyDescent="0.15">
      <c r="A5">
        <v>2</v>
      </c>
      <c r="B5" t="s">
        <v>81</v>
      </c>
      <c r="C5" t="s">
        <v>82</v>
      </c>
      <c r="D5" t="s">
        <v>43</v>
      </c>
      <c r="E5">
        <v>96</v>
      </c>
      <c r="F5" t="s">
        <v>65</v>
      </c>
      <c r="G5" t="s">
        <v>83</v>
      </c>
      <c r="H5">
        <v>0</v>
      </c>
      <c r="I5">
        <v>1.31</v>
      </c>
      <c r="J5">
        <v>15</v>
      </c>
      <c r="K5">
        <v>3</v>
      </c>
      <c r="L5">
        <v>20</v>
      </c>
      <c r="M5">
        <v>382</v>
      </c>
      <c r="N5">
        <v>260</v>
      </c>
      <c r="O5">
        <v>68.06</v>
      </c>
      <c r="P5">
        <v>49.02</v>
      </c>
      <c r="Q5">
        <v>154</v>
      </c>
      <c r="R5">
        <v>21</v>
      </c>
      <c r="S5">
        <v>68</v>
      </c>
      <c r="T5">
        <v>65</v>
      </c>
      <c r="U5">
        <v>94</v>
      </c>
      <c r="V5">
        <v>46</v>
      </c>
      <c r="W5">
        <v>26</v>
      </c>
      <c r="X5">
        <v>22</v>
      </c>
      <c r="Y5">
        <v>170</v>
      </c>
      <c r="Z5">
        <v>88</v>
      </c>
      <c r="AA5">
        <v>51.76</v>
      </c>
    </row>
    <row r="6" spans="1:27" x14ac:dyDescent="0.15">
      <c r="A6">
        <v>3</v>
      </c>
      <c r="B6" t="s">
        <v>79</v>
      </c>
      <c r="C6" t="s">
        <v>80</v>
      </c>
      <c r="D6" t="s">
        <v>43</v>
      </c>
      <c r="E6">
        <v>94</v>
      </c>
      <c r="F6" t="s">
        <v>39</v>
      </c>
      <c r="G6" t="s">
        <v>53</v>
      </c>
      <c r="H6">
        <v>2</v>
      </c>
      <c r="I6">
        <v>1.84</v>
      </c>
      <c r="J6">
        <v>30</v>
      </c>
      <c r="K6">
        <v>8</v>
      </c>
      <c r="L6">
        <v>26.67</v>
      </c>
      <c r="M6">
        <v>472</v>
      </c>
      <c r="N6">
        <v>372</v>
      </c>
      <c r="O6">
        <v>78.81</v>
      </c>
      <c r="P6">
        <v>59.94</v>
      </c>
      <c r="Q6">
        <v>112</v>
      </c>
      <c r="R6">
        <v>10</v>
      </c>
      <c r="S6">
        <v>35</v>
      </c>
      <c r="T6">
        <v>67</v>
      </c>
      <c r="U6">
        <v>100</v>
      </c>
      <c r="V6">
        <v>19</v>
      </c>
      <c r="W6">
        <v>54</v>
      </c>
      <c r="X6">
        <v>27</v>
      </c>
      <c r="Y6">
        <v>198</v>
      </c>
      <c r="Z6">
        <v>121</v>
      </c>
      <c r="AA6">
        <v>61.11</v>
      </c>
    </row>
    <row r="7" spans="1:27" x14ac:dyDescent="0.15">
      <c r="A7">
        <v>3</v>
      </c>
      <c r="B7" t="s">
        <v>79</v>
      </c>
      <c r="C7" t="s">
        <v>80</v>
      </c>
      <c r="D7" t="s">
        <v>43</v>
      </c>
      <c r="E7">
        <v>94</v>
      </c>
      <c r="F7" t="s">
        <v>61</v>
      </c>
      <c r="G7" t="s">
        <v>62</v>
      </c>
      <c r="H7">
        <v>0</v>
      </c>
      <c r="I7">
        <v>0.4</v>
      </c>
      <c r="J7">
        <v>7</v>
      </c>
      <c r="K7">
        <v>2</v>
      </c>
      <c r="L7">
        <v>28.57</v>
      </c>
      <c r="M7">
        <v>316</v>
      </c>
      <c r="N7">
        <v>221</v>
      </c>
      <c r="O7">
        <v>69.94</v>
      </c>
      <c r="P7">
        <v>40.06</v>
      </c>
      <c r="Q7">
        <v>134</v>
      </c>
      <c r="R7">
        <v>38</v>
      </c>
      <c r="S7">
        <v>68</v>
      </c>
      <c r="T7">
        <v>28</v>
      </c>
      <c r="U7">
        <v>72</v>
      </c>
      <c r="V7">
        <v>44</v>
      </c>
      <c r="W7">
        <v>20</v>
      </c>
      <c r="X7">
        <v>8</v>
      </c>
      <c r="Y7">
        <v>198</v>
      </c>
      <c r="Z7">
        <v>74</v>
      </c>
      <c r="AA7">
        <v>37.369999999999997</v>
      </c>
    </row>
    <row r="8" spans="1:27" x14ac:dyDescent="0.15">
      <c r="A8">
        <v>4</v>
      </c>
      <c r="B8" t="s">
        <v>76</v>
      </c>
      <c r="C8" t="s">
        <v>77</v>
      </c>
      <c r="D8" t="s">
        <v>43</v>
      </c>
      <c r="E8">
        <v>95</v>
      </c>
      <c r="F8" t="s">
        <v>39</v>
      </c>
      <c r="G8" t="s">
        <v>78</v>
      </c>
      <c r="H8">
        <v>0</v>
      </c>
      <c r="I8">
        <v>0.53</v>
      </c>
      <c r="J8">
        <v>10</v>
      </c>
      <c r="K8">
        <v>3</v>
      </c>
      <c r="L8">
        <v>30</v>
      </c>
      <c r="M8">
        <v>516</v>
      </c>
      <c r="N8">
        <v>416</v>
      </c>
      <c r="O8">
        <v>80.62</v>
      </c>
      <c r="P8">
        <v>51.92</v>
      </c>
      <c r="Q8">
        <v>128</v>
      </c>
      <c r="R8">
        <v>18</v>
      </c>
      <c r="S8">
        <v>53</v>
      </c>
      <c r="T8">
        <v>57</v>
      </c>
      <c r="U8">
        <v>97</v>
      </c>
      <c r="V8">
        <v>54</v>
      </c>
      <c r="W8">
        <v>32</v>
      </c>
      <c r="X8">
        <v>11</v>
      </c>
      <c r="Y8">
        <v>173</v>
      </c>
      <c r="Z8">
        <v>87</v>
      </c>
      <c r="AA8">
        <v>50.29</v>
      </c>
    </row>
    <row r="9" spans="1:27" x14ac:dyDescent="0.15">
      <c r="A9">
        <v>4</v>
      </c>
      <c r="B9" t="s">
        <v>76</v>
      </c>
      <c r="C9" t="s">
        <v>77</v>
      </c>
      <c r="D9" t="s">
        <v>43</v>
      </c>
      <c r="E9">
        <v>95</v>
      </c>
      <c r="F9" t="s">
        <v>49</v>
      </c>
      <c r="G9" t="s">
        <v>44</v>
      </c>
      <c r="H9">
        <v>0</v>
      </c>
      <c r="I9">
        <v>0.39</v>
      </c>
      <c r="J9">
        <v>8</v>
      </c>
      <c r="K9">
        <v>0</v>
      </c>
      <c r="L9">
        <v>0</v>
      </c>
      <c r="M9">
        <v>417</v>
      </c>
      <c r="N9">
        <v>314</v>
      </c>
      <c r="O9">
        <v>75.3</v>
      </c>
      <c r="P9">
        <v>48.08</v>
      </c>
      <c r="Q9">
        <v>144</v>
      </c>
      <c r="R9">
        <v>26</v>
      </c>
      <c r="S9">
        <v>35</v>
      </c>
      <c r="T9">
        <v>83</v>
      </c>
      <c r="U9">
        <v>79</v>
      </c>
      <c r="V9">
        <v>36</v>
      </c>
      <c r="W9">
        <v>38</v>
      </c>
      <c r="X9">
        <v>5</v>
      </c>
      <c r="Y9">
        <v>173</v>
      </c>
      <c r="Z9">
        <v>81</v>
      </c>
      <c r="AA9">
        <v>46.82</v>
      </c>
    </row>
    <row r="10" spans="1:27" x14ac:dyDescent="0.15">
      <c r="A10">
        <v>5</v>
      </c>
      <c r="B10" t="s">
        <v>73</v>
      </c>
      <c r="C10" t="s">
        <v>74</v>
      </c>
      <c r="D10" t="s">
        <v>43</v>
      </c>
      <c r="E10">
        <v>99</v>
      </c>
      <c r="F10" t="s">
        <v>39</v>
      </c>
      <c r="G10" t="s">
        <v>53</v>
      </c>
      <c r="H10">
        <v>0</v>
      </c>
      <c r="I10">
        <v>1.24</v>
      </c>
      <c r="J10">
        <v>13</v>
      </c>
      <c r="K10">
        <v>4</v>
      </c>
      <c r="L10">
        <v>30.77</v>
      </c>
      <c r="M10">
        <v>391</v>
      </c>
      <c r="N10">
        <v>281</v>
      </c>
      <c r="O10">
        <v>71.87</v>
      </c>
      <c r="P10">
        <v>39.92</v>
      </c>
      <c r="Q10">
        <v>137</v>
      </c>
      <c r="R10">
        <v>17</v>
      </c>
      <c r="S10">
        <v>60</v>
      </c>
      <c r="T10">
        <v>60</v>
      </c>
      <c r="U10">
        <v>115</v>
      </c>
      <c r="V10">
        <v>55</v>
      </c>
      <c r="W10">
        <v>37</v>
      </c>
      <c r="X10">
        <v>23</v>
      </c>
      <c r="Y10">
        <v>200</v>
      </c>
      <c r="Z10">
        <v>98</v>
      </c>
      <c r="AA10">
        <v>49</v>
      </c>
    </row>
    <row r="11" spans="1:27" x14ac:dyDescent="0.15">
      <c r="A11">
        <v>5</v>
      </c>
      <c r="B11" t="s">
        <v>73</v>
      </c>
      <c r="C11" t="s">
        <v>74</v>
      </c>
      <c r="D11" t="s">
        <v>43</v>
      </c>
      <c r="E11">
        <v>99</v>
      </c>
      <c r="F11" t="s">
        <v>54</v>
      </c>
      <c r="G11" t="s">
        <v>75</v>
      </c>
      <c r="H11">
        <v>0</v>
      </c>
      <c r="I11">
        <v>0.73</v>
      </c>
      <c r="J11">
        <v>10</v>
      </c>
      <c r="K11">
        <v>4</v>
      </c>
      <c r="L11">
        <v>40</v>
      </c>
      <c r="M11">
        <v>503</v>
      </c>
      <c r="N11">
        <v>371</v>
      </c>
      <c r="O11">
        <v>73.760000000000005</v>
      </c>
      <c r="P11">
        <v>60.08</v>
      </c>
      <c r="Q11">
        <v>162</v>
      </c>
      <c r="R11">
        <v>31</v>
      </c>
      <c r="S11">
        <v>52</v>
      </c>
      <c r="T11">
        <v>79</v>
      </c>
      <c r="U11">
        <v>104</v>
      </c>
      <c r="V11">
        <v>41</v>
      </c>
      <c r="W11">
        <v>53</v>
      </c>
      <c r="X11">
        <v>10</v>
      </c>
      <c r="Y11">
        <v>200</v>
      </c>
      <c r="Z11">
        <v>99</v>
      </c>
      <c r="AA11">
        <v>49.5</v>
      </c>
    </row>
    <row r="12" spans="1:27" x14ac:dyDescent="0.15">
      <c r="A12">
        <v>6</v>
      </c>
      <c r="B12" t="s">
        <v>70</v>
      </c>
      <c r="C12" t="s">
        <v>71</v>
      </c>
      <c r="D12" t="s">
        <v>43</v>
      </c>
      <c r="E12">
        <v>93</v>
      </c>
      <c r="F12" t="s">
        <v>39</v>
      </c>
      <c r="G12" t="s">
        <v>46</v>
      </c>
      <c r="H12">
        <v>3</v>
      </c>
      <c r="I12">
        <v>1.68</v>
      </c>
      <c r="J12">
        <v>17</v>
      </c>
      <c r="K12">
        <v>8</v>
      </c>
      <c r="L12">
        <v>47.06</v>
      </c>
      <c r="M12">
        <v>366</v>
      </c>
      <c r="N12">
        <v>250</v>
      </c>
      <c r="O12">
        <v>68.31</v>
      </c>
      <c r="P12">
        <v>52</v>
      </c>
      <c r="Q12">
        <v>113</v>
      </c>
      <c r="R12">
        <v>10</v>
      </c>
      <c r="S12">
        <v>41</v>
      </c>
      <c r="T12">
        <v>62</v>
      </c>
      <c r="U12">
        <v>92</v>
      </c>
      <c r="V12">
        <v>29</v>
      </c>
      <c r="W12">
        <v>39</v>
      </c>
      <c r="X12">
        <v>24</v>
      </c>
      <c r="Y12">
        <v>203</v>
      </c>
      <c r="Z12">
        <v>106</v>
      </c>
      <c r="AA12">
        <v>52.22</v>
      </c>
    </row>
    <row r="13" spans="1:27" x14ac:dyDescent="0.15">
      <c r="A13">
        <v>6</v>
      </c>
      <c r="B13" t="s">
        <v>70</v>
      </c>
      <c r="C13" t="s">
        <v>71</v>
      </c>
      <c r="D13" t="s">
        <v>43</v>
      </c>
      <c r="E13">
        <v>93</v>
      </c>
      <c r="F13" t="s">
        <v>72</v>
      </c>
      <c r="G13" t="s">
        <v>44</v>
      </c>
      <c r="H13">
        <v>1</v>
      </c>
      <c r="I13">
        <v>0.23</v>
      </c>
      <c r="J13">
        <v>4</v>
      </c>
      <c r="K13">
        <v>4</v>
      </c>
      <c r="L13">
        <v>100</v>
      </c>
      <c r="M13">
        <v>281</v>
      </c>
      <c r="N13">
        <v>185</v>
      </c>
      <c r="O13">
        <v>65.84</v>
      </c>
      <c r="P13">
        <v>48</v>
      </c>
      <c r="Q13">
        <v>150</v>
      </c>
      <c r="R13">
        <v>33</v>
      </c>
      <c r="S13">
        <v>67</v>
      </c>
      <c r="T13">
        <v>50</v>
      </c>
      <c r="U13">
        <v>75</v>
      </c>
      <c r="V13">
        <v>40</v>
      </c>
      <c r="W13">
        <v>31</v>
      </c>
      <c r="X13">
        <v>4</v>
      </c>
      <c r="Y13">
        <v>203</v>
      </c>
      <c r="Z13">
        <v>93</v>
      </c>
      <c r="AA13">
        <v>45.81</v>
      </c>
    </row>
    <row r="14" spans="1:27" x14ac:dyDescent="0.15">
      <c r="A14">
        <v>7</v>
      </c>
      <c r="B14" t="s">
        <v>68</v>
      </c>
      <c r="C14" t="s">
        <v>69</v>
      </c>
      <c r="D14" t="s">
        <v>43</v>
      </c>
      <c r="E14">
        <v>96</v>
      </c>
      <c r="F14" t="s">
        <v>39</v>
      </c>
      <c r="G14" t="s">
        <v>53</v>
      </c>
      <c r="H14">
        <v>1</v>
      </c>
      <c r="I14">
        <v>1.38</v>
      </c>
      <c r="J14">
        <v>11</v>
      </c>
      <c r="K14">
        <v>6</v>
      </c>
      <c r="L14">
        <v>54.55</v>
      </c>
      <c r="M14">
        <v>386</v>
      </c>
      <c r="N14">
        <v>280</v>
      </c>
      <c r="O14">
        <v>72.540000000000006</v>
      </c>
      <c r="P14">
        <v>45.86</v>
      </c>
      <c r="Q14">
        <v>155</v>
      </c>
      <c r="R14">
        <v>19</v>
      </c>
      <c r="S14">
        <v>60</v>
      </c>
      <c r="T14">
        <v>76</v>
      </c>
      <c r="U14">
        <v>120</v>
      </c>
      <c r="V14">
        <v>47</v>
      </c>
      <c r="W14">
        <v>63</v>
      </c>
      <c r="X14">
        <v>10</v>
      </c>
      <c r="Y14">
        <v>259</v>
      </c>
      <c r="Z14">
        <v>141</v>
      </c>
      <c r="AA14">
        <v>54.44</v>
      </c>
    </row>
    <row r="15" spans="1:27" x14ac:dyDescent="0.15">
      <c r="A15">
        <v>7</v>
      </c>
      <c r="B15" t="s">
        <v>68</v>
      </c>
      <c r="C15" t="s">
        <v>69</v>
      </c>
      <c r="D15" t="s">
        <v>43</v>
      </c>
      <c r="E15">
        <v>96</v>
      </c>
      <c r="F15" t="s">
        <v>45</v>
      </c>
      <c r="G15" t="s">
        <v>50</v>
      </c>
      <c r="H15">
        <v>1</v>
      </c>
      <c r="I15">
        <v>0.6</v>
      </c>
      <c r="J15">
        <v>6</v>
      </c>
      <c r="K15">
        <v>1</v>
      </c>
      <c r="L15">
        <v>16.670000000000002</v>
      </c>
      <c r="M15">
        <v>420</v>
      </c>
      <c r="N15">
        <v>315</v>
      </c>
      <c r="O15">
        <v>75</v>
      </c>
      <c r="P15">
        <v>54.14</v>
      </c>
      <c r="Q15">
        <v>157</v>
      </c>
      <c r="R15">
        <v>21</v>
      </c>
      <c r="S15">
        <v>68</v>
      </c>
      <c r="T15">
        <v>68</v>
      </c>
      <c r="U15">
        <v>105</v>
      </c>
      <c r="V15">
        <v>44</v>
      </c>
      <c r="W15">
        <v>46</v>
      </c>
      <c r="X15">
        <v>15</v>
      </c>
      <c r="Y15">
        <v>259</v>
      </c>
      <c r="Z15">
        <v>116</v>
      </c>
      <c r="AA15">
        <v>44.79</v>
      </c>
    </row>
    <row r="16" spans="1:27" x14ac:dyDescent="0.15">
      <c r="A16">
        <v>8</v>
      </c>
      <c r="B16" t="s">
        <v>66</v>
      </c>
      <c r="C16" t="s">
        <v>67</v>
      </c>
      <c r="D16" t="s">
        <v>43</v>
      </c>
      <c r="E16">
        <v>93</v>
      </c>
      <c r="F16" t="s">
        <v>39</v>
      </c>
      <c r="G16" t="s">
        <v>53</v>
      </c>
      <c r="H16">
        <v>1</v>
      </c>
      <c r="I16">
        <v>1</v>
      </c>
      <c r="J16">
        <v>12</v>
      </c>
      <c r="K16">
        <v>6</v>
      </c>
      <c r="L16">
        <v>50</v>
      </c>
      <c r="M16">
        <v>596</v>
      </c>
      <c r="N16">
        <v>453</v>
      </c>
      <c r="O16">
        <v>76.010000000000005</v>
      </c>
      <c r="P16">
        <v>64.13</v>
      </c>
      <c r="Q16">
        <v>176</v>
      </c>
      <c r="R16">
        <v>25</v>
      </c>
      <c r="S16">
        <v>63</v>
      </c>
      <c r="T16">
        <v>88</v>
      </c>
      <c r="U16">
        <v>121</v>
      </c>
      <c r="V16">
        <v>32</v>
      </c>
      <c r="W16">
        <v>63</v>
      </c>
      <c r="X16">
        <v>26</v>
      </c>
      <c r="Y16">
        <v>221</v>
      </c>
      <c r="Z16">
        <v>124</v>
      </c>
      <c r="AA16">
        <v>56.11</v>
      </c>
    </row>
    <row r="17" spans="1:27" x14ac:dyDescent="0.15">
      <c r="A17">
        <v>8</v>
      </c>
      <c r="B17" t="s">
        <v>66</v>
      </c>
      <c r="C17" t="s">
        <v>67</v>
      </c>
      <c r="D17" t="s">
        <v>43</v>
      </c>
      <c r="E17">
        <v>93</v>
      </c>
      <c r="F17" t="s">
        <v>58</v>
      </c>
      <c r="G17" t="s">
        <v>50</v>
      </c>
      <c r="H17">
        <v>0</v>
      </c>
      <c r="I17">
        <v>0.38</v>
      </c>
      <c r="J17">
        <v>8</v>
      </c>
      <c r="K17">
        <v>4</v>
      </c>
      <c r="L17">
        <v>50</v>
      </c>
      <c r="M17">
        <v>311</v>
      </c>
      <c r="N17">
        <v>188</v>
      </c>
      <c r="O17">
        <v>60.45</v>
      </c>
      <c r="P17">
        <v>35.869999999999997</v>
      </c>
      <c r="Q17">
        <v>183</v>
      </c>
      <c r="R17">
        <v>34</v>
      </c>
      <c r="S17">
        <v>95</v>
      </c>
      <c r="T17">
        <v>54</v>
      </c>
      <c r="U17">
        <v>102</v>
      </c>
      <c r="V17">
        <v>50</v>
      </c>
      <c r="W17">
        <v>40</v>
      </c>
      <c r="X17">
        <v>12</v>
      </c>
      <c r="Y17">
        <v>221</v>
      </c>
      <c r="Z17">
        <v>93</v>
      </c>
      <c r="AA17">
        <v>42.08</v>
      </c>
    </row>
    <row r="18" spans="1:27" x14ac:dyDescent="0.15">
      <c r="A18">
        <v>9</v>
      </c>
      <c r="B18" t="s">
        <v>63</v>
      </c>
      <c r="C18" t="s">
        <v>64</v>
      </c>
      <c r="D18" t="s">
        <v>43</v>
      </c>
      <c r="E18">
        <v>95</v>
      </c>
      <c r="F18" t="s">
        <v>39</v>
      </c>
      <c r="G18" t="s">
        <v>44</v>
      </c>
      <c r="H18">
        <v>5</v>
      </c>
      <c r="I18">
        <v>2.25</v>
      </c>
      <c r="J18">
        <v>16</v>
      </c>
      <c r="K18">
        <v>13</v>
      </c>
      <c r="L18">
        <v>81.25</v>
      </c>
      <c r="M18">
        <v>376</v>
      </c>
      <c r="N18">
        <v>265</v>
      </c>
      <c r="O18">
        <v>70.48</v>
      </c>
      <c r="P18">
        <v>55.9</v>
      </c>
      <c r="Q18">
        <v>137</v>
      </c>
      <c r="R18">
        <v>20</v>
      </c>
      <c r="S18">
        <v>48</v>
      </c>
      <c r="T18">
        <v>69</v>
      </c>
      <c r="U18">
        <v>105</v>
      </c>
      <c r="V18">
        <v>39</v>
      </c>
      <c r="W18">
        <v>44</v>
      </c>
      <c r="X18">
        <v>22</v>
      </c>
      <c r="Y18">
        <v>242</v>
      </c>
      <c r="Z18">
        <v>126</v>
      </c>
      <c r="AA18">
        <v>52.07</v>
      </c>
    </row>
    <row r="19" spans="1:27" x14ac:dyDescent="0.15">
      <c r="A19">
        <v>9</v>
      </c>
      <c r="B19" t="s">
        <v>63</v>
      </c>
      <c r="C19" t="s">
        <v>64</v>
      </c>
      <c r="D19" t="s">
        <v>43</v>
      </c>
      <c r="E19">
        <v>95</v>
      </c>
      <c r="F19" t="s">
        <v>65</v>
      </c>
      <c r="G19" t="s">
        <v>46</v>
      </c>
      <c r="H19">
        <v>0</v>
      </c>
      <c r="I19">
        <v>0.13</v>
      </c>
      <c r="J19">
        <v>5</v>
      </c>
      <c r="K19">
        <v>1</v>
      </c>
      <c r="L19">
        <v>20</v>
      </c>
      <c r="M19">
        <v>328</v>
      </c>
      <c r="N19">
        <v>215</v>
      </c>
      <c r="O19">
        <v>65.55</v>
      </c>
      <c r="P19">
        <v>44.1</v>
      </c>
      <c r="Q19">
        <v>164</v>
      </c>
      <c r="R19">
        <v>39</v>
      </c>
      <c r="S19">
        <v>58</v>
      </c>
      <c r="T19">
        <v>67</v>
      </c>
      <c r="U19">
        <v>89</v>
      </c>
      <c r="V19">
        <v>41</v>
      </c>
      <c r="W19">
        <v>36</v>
      </c>
      <c r="X19">
        <v>12</v>
      </c>
      <c r="Y19">
        <v>242</v>
      </c>
      <c r="Z19">
        <v>107</v>
      </c>
      <c r="AA19">
        <v>44.21</v>
      </c>
    </row>
    <row r="20" spans="1:27" x14ac:dyDescent="0.15">
      <c r="A20">
        <v>10</v>
      </c>
      <c r="B20" t="s">
        <v>59</v>
      </c>
      <c r="C20" t="s">
        <v>60</v>
      </c>
      <c r="D20" t="s">
        <v>43</v>
      </c>
      <c r="E20">
        <v>94</v>
      </c>
      <c r="F20" t="s">
        <v>39</v>
      </c>
      <c r="G20" t="s">
        <v>50</v>
      </c>
      <c r="H20">
        <v>3</v>
      </c>
      <c r="I20">
        <v>4.37</v>
      </c>
      <c r="J20">
        <v>31</v>
      </c>
      <c r="K20">
        <v>6</v>
      </c>
      <c r="L20">
        <v>19.350000000000001</v>
      </c>
      <c r="M20">
        <v>559</v>
      </c>
      <c r="N20">
        <v>467</v>
      </c>
      <c r="O20">
        <v>83.54</v>
      </c>
      <c r="P20">
        <v>62.54</v>
      </c>
      <c r="Q20">
        <v>108</v>
      </c>
      <c r="R20">
        <v>1</v>
      </c>
      <c r="S20">
        <v>13</v>
      </c>
      <c r="T20">
        <v>94</v>
      </c>
      <c r="U20">
        <v>91</v>
      </c>
      <c r="V20">
        <v>8</v>
      </c>
      <c r="W20">
        <v>38</v>
      </c>
      <c r="X20">
        <v>45</v>
      </c>
      <c r="Y20">
        <v>179</v>
      </c>
      <c r="Z20">
        <v>84</v>
      </c>
      <c r="AA20">
        <v>46.93</v>
      </c>
    </row>
    <row r="21" spans="1:27" x14ac:dyDescent="0.15">
      <c r="A21">
        <v>10</v>
      </c>
      <c r="B21" t="s">
        <v>59</v>
      </c>
      <c r="C21" t="s">
        <v>60</v>
      </c>
      <c r="D21" t="s">
        <v>43</v>
      </c>
      <c r="E21">
        <v>94</v>
      </c>
      <c r="F21" t="s">
        <v>61</v>
      </c>
      <c r="G21" t="s">
        <v>62</v>
      </c>
      <c r="H21">
        <v>0</v>
      </c>
      <c r="I21">
        <v>0</v>
      </c>
      <c r="J21">
        <v>0</v>
      </c>
      <c r="K21">
        <v>0</v>
      </c>
      <c r="L21">
        <v>0</v>
      </c>
      <c r="M21">
        <v>284</v>
      </c>
      <c r="N21">
        <v>178</v>
      </c>
      <c r="O21">
        <v>62.68</v>
      </c>
      <c r="P21">
        <v>37.46</v>
      </c>
      <c r="Q21">
        <v>140</v>
      </c>
      <c r="R21">
        <v>63</v>
      </c>
      <c r="S21">
        <v>61</v>
      </c>
      <c r="T21">
        <v>16</v>
      </c>
      <c r="U21">
        <v>75</v>
      </c>
      <c r="V21">
        <v>68</v>
      </c>
      <c r="W21">
        <v>6</v>
      </c>
      <c r="X21">
        <v>1</v>
      </c>
      <c r="Y21">
        <v>179</v>
      </c>
      <c r="Z21">
        <v>93</v>
      </c>
      <c r="AA21">
        <v>51.96</v>
      </c>
    </row>
    <row r="22" spans="1:27" x14ac:dyDescent="0.15">
      <c r="A22">
        <v>11</v>
      </c>
      <c r="B22" t="s">
        <v>56</v>
      </c>
      <c r="C22" t="s">
        <v>57</v>
      </c>
      <c r="D22" t="s">
        <v>43</v>
      </c>
      <c r="E22">
        <v>95</v>
      </c>
      <c r="F22" t="s">
        <v>39</v>
      </c>
      <c r="G22" t="s">
        <v>44</v>
      </c>
      <c r="H22">
        <v>3</v>
      </c>
      <c r="I22">
        <v>2.37</v>
      </c>
      <c r="J22">
        <v>23</v>
      </c>
      <c r="K22">
        <v>7</v>
      </c>
      <c r="L22">
        <v>30.43</v>
      </c>
      <c r="M22">
        <v>613</v>
      </c>
      <c r="N22">
        <v>489</v>
      </c>
      <c r="O22">
        <v>79.77</v>
      </c>
      <c r="P22">
        <v>59.23</v>
      </c>
      <c r="Q22">
        <v>160</v>
      </c>
      <c r="R22">
        <v>10</v>
      </c>
      <c r="S22">
        <v>55</v>
      </c>
      <c r="T22">
        <v>95</v>
      </c>
      <c r="U22">
        <v>106</v>
      </c>
      <c r="V22">
        <v>30</v>
      </c>
      <c r="W22">
        <v>55</v>
      </c>
      <c r="X22">
        <v>21</v>
      </c>
      <c r="Y22">
        <v>170</v>
      </c>
      <c r="Z22">
        <v>79</v>
      </c>
      <c r="AA22">
        <v>46.47</v>
      </c>
    </row>
    <row r="23" spans="1:27" x14ac:dyDescent="0.15">
      <c r="A23">
        <v>11</v>
      </c>
      <c r="B23" t="s">
        <v>56</v>
      </c>
      <c r="C23" t="s">
        <v>57</v>
      </c>
      <c r="D23" t="s">
        <v>43</v>
      </c>
      <c r="E23">
        <v>95</v>
      </c>
      <c r="F23" t="s">
        <v>58</v>
      </c>
      <c r="G23" t="s">
        <v>50</v>
      </c>
      <c r="H23">
        <v>0</v>
      </c>
      <c r="I23">
        <v>0.45</v>
      </c>
      <c r="J23">
        <v>7</v>
      </c>
      <c r="K23">
        <v>2</v>
      </c>
      <c r="L23">
        <v>28.57</v>
      </c>
      <c r="M23">
        <v>401</v>
      </c>
      <c r="N23">
        <v>277</v>
      </c>
      <c r="O23">
        <v>69.08</v>
      </c>
      <c r="P23">
        <v>40.770000000000003</v>
      </c>
      <c r="Q23">
        <v>172</v>
      </c>
      <c r="R23">
        <v>47</v>
      </c>
      <c r="S23">
        <v>74</v>
      </c>
      <c r="T23">
        <v>51</v>
      </c>
      <c r="U23">
        <v>106</v>
      </c>
      <c r="V23">
        <v>59</v>
      </c>
      <c r="W23">
        <v>42</v>
      </c>
      <c r="X23">
        <v>5</v>
      </c>
      <c r="Y23">
        <v>170</v>
      </c>
      <c r="Z23">
        <v>89</v>
      </c>
      <c r="AA23">
        <v>52.35</v>
      </c>
    </row>
    <row r="24" spans="1:27" x14ac:dyDescent="0.15">
      <c r="A24">
        <v>12</v>
      </c>
      <c r="B24" t="s">
        <v>51</v>
      </c>
      <c r="C24" t="s">
        <v>52</v>
      </c>
      <c r="D24" t="s">
        <v>43</v>
      </c>
      <c r="E24">
        <v>91</v>
      </c>
      <c r="F24" t="s">
        <v>39</v>
      </c>
      <c r="G24" t="s">
        <v>53</v>
      </c>
      <c r="H24">
        <v>1</v>
      </c>
      <c r="I24">
        <v>0.66</v>
      </c>
      <c r="J24">
        <v>13</v>
      </c>
      <c r="K24">
        <v>6</v>
      </c>
      <c r="L24">
        <v>46.15</v>
      </c>
      <c r="M24">
        <v>366</v>
      </c>
      <c r="N24">
        <v>249</v>
      </c>
      <c r="O24">
        <v>68.03</v>
      </c>
      <c r="P24">
        <v>44.6</v>
      </c>
      <c r="Q24">
        <v>136</v>
      </c>
      <c r="R24">
        <v>15</v>
      </c>
      <c r="S24">
        <v>47</v>
      </c>
      <c r="T24">
        <v>74</v>
      </c>
      <c r="U24">
        <v>99</v>
      </c>
      <c r="V24">
        <v>32</v>
      </c>
      <c r="W24">
        <v>44</v>
      </c>
      <c r="X24">
        <v>23</v>
      </c>
      <c r="Y24">
        <v>215</v>
      </c>
      <c r="Z24">
        <v>100</v>
      </c>
      <c r="AA24">
        <v>46.51</v>
      </c>
    </row>
    <row r="25" spans="1:27" x14ac:dyDescent="0.15">
      <c r="A25">
        <v>12</v>
      </c>
      <c r="B25" t="s">
        <v>51</v>
      </c>
      <c r="C25" t="s">
        <v>52</v>
      </c>
      <c r="D25" t="s">
        <v>43</v>
      </c>
      <c r="E25">
        <v>91</v>
      </c>
      <c r="F25" t="s">
        <v>54</v>
      </c>
      <c r="G25" t="s">
        <v>55</v>
      </c>
      <c r="H25">
        <v>0</v>
      </c>
      <c r="I25">
        <v>0.93</v>
      </c>
      <c r="J25">
        <v>8</v>
      </c>
      <c r="K25">
        <v>4</v>
      </c>
      <c r="L25">
        <v>50</v>
      </c>
      <c r="M25">
        <v>416</v>
      </c>
      <c r="N25">
        <v>295</v>
      </c>
      <c r="O25">
        <v>70.91</v>
      </c>
      <c r="P25">
        <v>55.4</v>
      </c>
      <c r="Q25">
        <v>164</v>
      </c>
      <c r="R25">
        <v>36</v>
      </c>
      <c r="S25">
        <v>72</v>
      </c>
      <c r="T25">
        <v>56</v>
      </c>
      <c r="U25">
        <v>99</v>
      </c>
      <c r="V25">
        <v>47</v>
      </c>
      <c r="W25">
        <v>35</v>
      </c>
      <c r="X25">
        <v>17</v>
      </c>
      <c r="Y25">
        <v>215</v>
      </c>
      <c r="Z25">
        <v>110</v>
      </c>
      <c r="AA25">
        <v>51.16</v>
      </c>
    </row>
    <row r="26" spans="1:27" x14ac:dyDescent="0.15">
      <c r="A26">
        <v>13</v>
      </c>
      <c r="B26" t="s">
        <v>47</v>
      </c>
      <c r="C26" t="s">
        <v>48</v>
      </c>
      <c r="D26" t="s">
        <v>43</v>
      </c>
      <c r="E26">
        <v>100</v>
      </c>
      <c r="F26" t="s">
        <v>39</v>
      </c>
      <c r="G26" t="s">
        <v>44</v>
      </c>
      <c r="H26">
        <v>2</v>
      </c>
      <c r="I26">
        <v>1.94</v>
      </c>
      <c r="J26">
        <v>14</v>
      </c>
      <c r="K26">
        <v>4</v>
      </c>
      <c r="L26">
        <v>28.57</v>
      </c>
      <c r="M26">
        <v>283</v>
      </c>
      <c r="N26">
        <v>181</v>
      </c>
      <c r="O26">
        <v>63.96</v>
      </c>
      <c r="P26">
        <v>37.32</v>
      </c>
      <c r="Q26">
        <v>126</v>
      </c>
      <c r="R26">
        <v>16</v>
      </c>
      <c r="S26">
        <v>48</v>
      </c>
      <c r="T26">
        <v>62</v>
      </c>
      <c r="U26">
        <v>87</v>
      </c>
      <c r="V26">
        <v>43</v>
      </c>
      <c r="W26">
        <v>30</v>
      </c>
      <c r="X26">
        <v>14</v>
      </c>
      <c r="Y26">
        <v>236</v>
      </c>
      <c r="Z26">
        <v>124</v>
      </c>
      <c r="AA26">
        <v>52.54</v>
      </c>
    </row>
    <row r="27" spans="1:27" x14ac:dyDescent="0.15">
      <c r="A27">
        <v>13</v>
      </c>
      <c r="B27" t="s">
        <v>47</v>
      </c>
      <c r="C27" t="s">
        <v>48</v>
      </c>
      <c r="D27" t="s">
        <v>43</v>
      </c>
      <c r="E27">
        <v>100</v>
      </c>
      <c r="F27" t="s">
        <v>49</v>
      </c>
      <c r="G27" t="s">
        <v>50</v>
      </c>
      <c r="H27">
        <v>1</v>
      </c>
      <c r="I27">
        <v>1.21</v>
      </c>
      <c r="J27">
        <v>8</v>
      </c>
      <c r="K27">
        <v>2</v>
      </c>
      <c r="L27">
        <v>25</v>
      </c>
      <c r="M27">
        <v>463</v>
      </c>
      <c r="N27">
        <v>363</v>
      </c>
      <c r="O27">
        <v>78.400000000000006</v>
      </c>
      <c r="P27">
        <v>62.68</v>
      </c>
      <c r="Q27">
        <v>134</v>
      </c>
      <c r="R27">
        <v>25</v>
      </c>
      <c r="S27">
        <v>46</v>
      </c>
      <c r="T27">
        <v>63</v>
      </c>
      <c r="U27">
        <v>85</v>
      </c>
      <c r="V27">
        <v>35</v>
      </c>
      <c r="W27">
        <v>33</v>
      </c>
      <c r="X27">
        <v>17</v>
      </c>
      <c r="Y27">
        <v>236</v>
      </c>
      <c r="Z27">
        <v>104</v>
      </c>
      <c r="AA27">
        <v>44.07</v>
      </c>
    </row>
    <row r="28" spans="1:27" x14ac:dyDescent="0.15">
      <c r="A28">
        <v>14</v>
      </c>
      <c r="B28" t="s">
        <v>41</v>
      </c>
      <c r="C28" t="s">
        <v>42</v>
      </c>
      <c r="D28" t="s">
        <v>43</v>
      </c>
      <c r="E28">
        <v>96</v>
      </c>
      <c r="F28" t="s">
        <v>39</v>
      </c>
      <c r="G28" t="s">
        <v>44</v>
      </c>
      <c r="H28">
        <v>1</v>
      </c>
      <c r="I28">
        <v>3.31</v>
      </c>
      <c r="J28">
        <v>19</v>
      </c>
      <c r="K28">
        <v>12</v>
      </c>
      <c r="L28">
        <v>63.16</v>
      </c>
      <c r="M28">
        <v>371</v>
      </c>
      <c r="N28">
        <v>238</v>
      </c>
      <c r="O28">
        <v>64.150000000000006</v>
      </c>
      <c r="P28">
        <v>47.81</v>
      </c>
      <c r="Q28">
        <v>155</v>
      </c>
      <c r="R28">
        <v>22</v>
      </c>
      <c r="S28">
        <v>72</v>
      </c>
      <c r="T28">
        <v>61</v>
      </c>
      <c r="U28">
        <v>88</v>
      </c>
      <c r="V28">
        <v>21</v>
      </c>
      <c r="W28">
        <v>53</v>
      </c>
      <c r="X28">
        <v>14</v>
      </c>
      <c r="Y28">
        <v>212</v>
      </c>
      <c r="Z28">
        <v>97</v>
      </c>
      <c r="AA28">
        <v>45.75</v>
      </c>
    </row>
    <row r="29" spans="1:27" x14ac:dyDescent="0.15">
      <c r="A29">
        <v>14</v>
      </c>
      <c r="B29" t="s">
        <v>41</v>
      </c>
      <c r="C29" t="s">
        <v>42</v>
      </c>
      <c r="D29" t="s">
        <v>43</v>
      </c>
      <c r="E29">
        <v>96</v>
      </c>
      <c r="F29" t="s">
        <v>45</v>
      </c>
      <c r="G29" t="s">
        <v>46</v>
      </c>
      <c r="H29">
        <v>0</v>
      </c>
      <c r="I29">
        <v>0.2</v>
      </c>
      <c r="J29">
        <v>5</v>
      </c>
      <c r="K29">
        <v>2</v>
      </c>
      <c r="L29">
        <v>40</v>
      </c>
      <c r="M29">
        <v>332</v>
      </c>
      <c r="N29">
        <v>226</v>
      </c>
      <c r="O29">
        <v>68.069999999999993</v>
      </c>
      <c r="P29">
        <v>52.19</v>
      </c>
      <c r="Q29">
        <v>162</v>
      </c>
      <c r="R29">
        <v>31</v>
      </c>
      <c r="S29">
        <v>86</v>
      </c>
      <c r="T29">
        <v>45</v>
      </c>
      <c r="U29">
        <v>96</v>
      </c>
      <c r="V29">
        <v>42</v>
      </c>
      <c r="W29">
        <v>38</v>
      </c>
      <c r="X29">
        <v>16</v>
      </c>
      <c r="Y29">
        <v>212</v>
      </c>
      <c r="Z29">
        <v>94</v>
      </c>
      <c r="AA29">
        <v>44.34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TeamStats</vt:lpstr>
      <vt:lpstr>DashboardData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2026-07-06T02:09:39Z</dcterms:created>
  <dcterms:modified xsi:type="dcterms:W3CDTF">2026-07-06T02:13:13Z</dcterms:modified>
</cp:coreProperties>
</file>